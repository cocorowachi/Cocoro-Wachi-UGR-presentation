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wa\Box\001 Classes\CV-4100 Hydrology\"/>
    </mc:Choice>
  </mc:AlternateContent>
  <xr:revisionPtr revIDLastSave="0" documentId="13_ncr:1_{376551B5-F2AF-4D07-8603-014D53E993DA}" xr6:coauthVersionLast="47" xr6:coauthVersionMax="47" xr10:uidLastSave="{00000000-0000-0000-0000-000000000000}"/>
  <bookViews>
    <workbookView xWindow="-110" yWindow="-110" windowWidth="25820" windowHeight="15620" xr2:uid="{D3096720-866C-4175-9123-15FB3AAAADCF}"/>
  </bookViews>
  <sheets>
    <sheet name="LH as published" sheetId="8" r:id="rId1"/>
    <sheet name="LH per Tony Ladson" sheetId="4" r:id="rId2"/>
    <sheet name="LH Paper Example replication" sheetId="5" r:id="rId3"/>
    <sheet name="Worked example from paper" sheetId="7" r:id="rId4"/>
  </sheets>
  <definedNames>
    <definedName name="a">'Worked example from paper'!$H$3</definedName>
    <definedName name="alpha" localSheetId="0">'LH as published'!$B$1</definedName>
    <definedName name="alpha" localSheetId="2">'LH Paper Example replication'!$B$2</definedName>
    <definedName name="alpha" localSheetId="1">'LH per Tony Ladson'!$B$1</definedName>
    <definedName name="BF" localSheetId="0">'LH as published'!#REF!</definedName>
    <definedName name="BF">'LH per Tony Ladson'!#REF!</definedName>
    <definedName name="Day" localSheetId="0">'LH as published'!#REF!</definedName>
    <definedName name="Day">'LH per Tony Ladson'!#REF!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5" l="1"/>
  <c r="N4" i="5" s="1"/>
  <c r="D3" i="8"/>
  <c r="C5" i="8"/>
  <c r="C4" i="8"/>
  <c r="D4" i="8" s="1"/>
  <c r="A45" i="8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4" i="8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D3" i="4"/>
  <c r="E138" i="7"/>
  <c r="F9" i="7"/>
  <c r="G9" i="7" s="1"/>
  <c r="M7" i="7"/>
  <c r="C6" i="8" l="1"/>
  <c r="D5" i="8"/>
  <c r="M5" i="5"/>
  <c r="F10" i="7"/>
  <c r="C4" i="4" a="1"/>
  <c r="C4" i="4" s="1"/>
  <c r="D4" i="4" s="1"/>
  <c r="C7" i="8" l="1"/>
  <c r="D6" i="8"/>
  <c r="M6" i="5"/>
  <c r="N5" i="5"/>
  <c r="F11" i="7"/>
  <c r="G10" i="7"/>
  <c r="C5" i="4"/>
  <c r="C8" i="8" l="1"/>
  <c r="D7" i="8"/>
  <c r="M7" i="5"/>
  <c r="N6" i="5"/>
  <c r="C6" i="4"/>
  <c r="D6" i="4" s="1"/>
  <c r="D5" i="4"/>
  <c r="G11" i="7"/>
  <c r="F12" i="7"/>
  <c r="C7" i="4"/>
  <c r="D7" i="4" s="1"/>
  <c r="C9" i="8" l="1"/>
  <c r="D8" i="8"/>
  <c r="M8" i="5"/>
  <c r="N7" i="5"/>
  <c r="F13" i="7"/>
  <c r="G12" i="7"/>
  <c r="C8" i="4"/>
  <c r="D8" i="4" s="1"/>
  <c r="C10" i="8" l="1"/>
  <c r="D9" i="8"/>
  <c r="M9" i="5"/>
  <c r="N8" i="5"/>
  <c r="F14" i="7"/>
  <c r="G13" i="7"/>
  <c r="C9" i="4"/>
  <c r="D9" i="4" s="1"/>
  <c r="C11" i="8" l="1"/>
  <c r="D10" i="8"/>
  <c r="M10" i="5"/>
  <c r="N9" i="5"/>
  <c r="G14" i="7"/>
  <c r="F15" i="7"/>
  <c r="C10" i="4"/>
  <c r="D10" i="4" s="1"/>
  <c r="C12" i="8" l="1"/>
  <c r="D11" i="8"/>
  <c r="M11" i="5"/>
  <c r="N10" i="5"/>
  <c r="F16" i="7"/>
  <c r="G15" i="7"/>
  <c r="C11" i="4"/>
  <c r="D11" i="4" s="1"/>
  <c r="C13" i="8" l="1"/>
  <c r="D12" i="8"/>
  <c r="M12" i="5"/>
  <c r="N11" i="5"/>
  <c r="F17" i="7"/>
  <c r="G16" i="7"/>
  <c r="C12" i="4"/>
  <c r="D12" i="4" s="1"/>
  <c r="C14" i="8" l="1"/>
  <c r="D13" i="8"/>
  <c r="M13" i="5"/>
  <c r="N12" i="5"/>
  <c r="F18" i="7"/>
  <c r="G17" i="7"/>
  <c r="C13" i="4"/>
  <c r="D13" i="4" s="1"/>
  <c r="C15" i="8" l="1"/>
  <c r="D14" i="8"/>
  <c r="M14" i="5"/>
  <c r="N13" i="5"/>
  <c r="F19" i="7"/>
  <c r="G18" i="7"/>
  <c r="C14" i="4"/>
  <c r="D14" i="4" s="1"/>
  <c r="C16" i="8" l="1"/>
  <c r="D15" i="8"/>
  <c r="M15" i="5"/>
  <c r="N14" i="5"/>
  <c r="G19" i="7"/>
  <c r="F20" i="7"/>
  <c r="C15" i="4"/>
  <c r="D15" i="4" s="1"/>
  <c r="C17" i="8" l="1"/>
  <c r="D16" i="8"/>
  <c r="M16" i="5"/>
  <c r="N15" i="5"/>
  <c r="F21" i="7"/>
  <c r="G20" i="7"/>
  <c r="C16" i="4"/>
  <c r="D16" i="4" s="1"/>
  <c r="C18" i="8" l="1"/>
  <c r="D17" i="8"/>
  <c r="M17" i="5"/>
  <c r="N16" i="5"/>
  <c r="F22" i="7"/>
  <c r="G21" i="7"/>
  <c r="C17" i="4"/>
  <c r="D17" i="4" s="1"/>
  <c r="C19" i="8" l="1"/>
  <c r="D18" i="8"/>
  <c r="M18" i="5"/>
  <c r="N17" i="5"/>
  <c r="G22" i="7"/>
  <c r="F23" i="7"/>
  <c r="C18" i="4"/>
  <c r="D18" i="4" s="1"/>
  <c r="C20" i="8" l="1"/>
  <c r="D19" i="8"/>
  <c r="M19" i="5"/>
  <c r="N18" i="5"/>
  <c r="G23" i="7"/>
  <c r="F24" i="7"/>
  <c r="C19" i="4"/>
  <c r="D19" i="4" s="1"/>
  <c r="C21" i="8" l="1"/>
  <c r="D20" i="8"/>
  <c r="M20" i="5"/>
  <c r="N19" i="5"/>
  <c r="F25" i="7"/>
  <c r="G24" i="7"/>
  <c r="C20" i="4"/>
  <c r="D20" i="4" s="1"/>
  <c r="C22" i="8" l="1"/>
  <c r="D21" i="8"/>
  <c r="M21" i="5"/>
  <c r="N20" i="5"/>
  <c r="G25" i="7"/>
  <c r="F26" i="7"/>
  <c r="C21" i="4"/>
  <c r="D21" i="4" s="1"/>
  <c r="C23" i="8" l="1"/>
  <c r="D22" i="8"/>
  <c r="M22" i="5"/>
  <c r="N21" i="5"/>
  <c r="F27" i="7"/>
  <c r="G26" i="7"/>
  <c r="C22" i="4"/>
  <c r="D22" i="4" s="1"/>
  <c r="C24" i="8" l="1"/>
  <c r="D23" i="8"/>
  <c r="M23" i="5"/>
  <c r="N22" i="5"/>
  <c r="G27" i="7"/>
  <c r="F28" i="7"/>
  <c r="C23" i="4"/>
  <c r="D23" i="4" s="1"/>
  <c r="C25" i="8" l="1"/>
  <c r="D24" i="8"/>
  <c r="M24" i="5"/>
  <c r="N23" i="5"/>
  <c r="F29" i="7"/>
  <c r="G28" i="7"/>
  <c r="C24" i="4"/>
  <c r="D24" i="4" s="1"/>
  <c r="C26" i="8" l="1"/>
  <c r="D25" i="8"/>
  <c r="M25" i="5"/>
  <c r="N24" i="5"/>
  <c r="F30" i="7"/>
  <c r="G29" i="7"/>
  <c r="C25" i="4"/>
  <c r="D25" i="4" s="1"/>
  <c r="C27" i="8" l="1"/>
  <c r="D26" i="8"/>
  <c r="M26" i="5"/>
  <c r="N25" i="5"/>
  <c r="G30" i="7"/>
  <c r="F31" i="7"/>
  <c r="C26" i="4"/>
  <c r="D26" i="4" s="1"/>
  <c r="C28" i="8" l="1"/>
  <c r="D27" i="8"/>
  <c r="M27" i="5"/>
  <c r="N26" i="5"/>
  <c r="G31" i="7"/>
  <c r="F32" i="7"/>
  <c r="C27" i="4"/>
  <c r="D27" i="4" s="1"/>
  <c r="C29" i="8" l="1"/>
  <c r="D28" i="8"/>
  <c r="M28" i="5"/>
  <c r="N27" i="5"/>
  <c r="F33" i="7"/>
  <c r="G32" i="7"/>
  <c r="C28" i="4"/>
  <c r="D28" i="4" s="1"/>
  <c r="C30" i="8" l="1"/>
  <c r="D29" i="8"/>
  <c r="M29" i="5"/>
  <c r="N28" i="5"/>
  <c r="F34" i="7"/>
  <c r="G33" i="7"/>
  <c r="C29" i="4"/>
  <c r="D29" i="4" s="1"/>
  <c r="C31" i="8" l="1"/>
  <c r="D30" i="8"/>
  <c r="M30" i="5"/>
  <c r="N29" i="5"/>
  <c r="G34" i="7"/>
  <c r="F35" i="7"/>
  <c r="C30" i="4"/>
  <c r="D30" i="4" s="1"/>
  <c r="C32" i="8" l="1"/>
  <c r="D31" i="8"/>
  <c r="M31" i="5"/>
  <c r="N30" i="5"/>
  <c r="G35" i="7"/>
  <c r="F36" i="7"/>
  <c r="C31" i="4"/>
  <c r="D31" i="4" s="1"/>
  <c r="C33" i="8" l="1"/>
  <c r="D32" i="8"/>
  <c r="M32" i="5"/>
  <c r="N31" i="5"/>
  <c r="F37" i="7"/>
  <c r="G36" i="7"/>
  <c r="C32" i="4"/>
  <c r="D32" i="4" s="1"/>
  <c r="C34" i="8" l="1"/>
  <c r="D33" i="8"/>
  <c r="M33" i="5"/>
  <c r="N32" i="5"/>
  <c r="F38" i="7"/>
  <c r="G37" i="7"/>
  <c r="C33" i="4"/>
  <c r="D33" i="4" s="1"/>
  <c r="C35" i="8" l="1"/>
  <c r="D34" i="8"/>
  <c r="M34" i="5"/>
  <c r="N33" i="5"/>
  <c r="G38" i="7"/>
  <c r="F39" i="7"/>
  <c r="C34" i="4"/>
  <c r="D34" i="4" s="1"/>
  <c r="C36" i="8" l="1"/>
  <c r="D35" i="8"/>
  <c r="M35" i="5"/>
  <c r="N34" i="5"/>
  <c r="F40" i="7"/>
  <c r="G39" i="7"/>
  <c r="C35" i="4"/>
  <c r="D35" i="4" s="1"/>
  <c r="C37" i="8" l="1"/>
  <c r="D36" i="8"/>
  <c r="M36" i="5"/>
  <c r="N35" i="5"/>
  <c r="F41" i="7"/>
  <c r="G40" i="7"/>
  <c r="C36" i="4"/>
  <c r="D36" i="4" s="1"/>
  <c r="C38" i="8" l="1"/>
  <c r="D37" i="8"/>
  <c r="M37" i="5"/>
  <c r="N36" i="5"/>
  <c r="G41" i="7"/>
  <c r="F42" i="7"/>
  <c r="C37" i="4"/>
  <c r="D37" i="4" s="1"/>
  <c r="C39" i="8" l="1"/>
  <c r="D38" i="8"/>
  <c r="M38" i="5"/>
  <c r="N37" i="5"/>
  <c r="F43" i="7"/>
  <c r="G42" i="7"/>
  <c r="C38" i="4"/>
  <c r="D38" i="4" s="1"/>
  <c r="C40" i="8" l="1"/>
  <c r="D39" i="8"/>
  <c r="M39" i="5"/>
  <c r="N38" i="5"/>
  <c r="G43" i="7"/>
  <c r="F44" i="7"/>
  <c r="C39" i="4"/>
  <c r="D39" i="4" s="1"/>
  <c r="C41" i="8" l="1"/>
  <c r="D40" i="8"/>
  <c r="M40" i="5"/>
  <c r="N39" i="5"/>
  <c r="F45" i="7"/>
  <c r="G44" i="7"/>
  <c r="C40" i="4"/>
  <c r="D40" i="4" s="1"/>
  <c r="C42" i="8" l="1"/>
  <c r="D41" i="8"/>
  <c r="M41" i="5"/>
  <c r="N40" i="5"/>
  <c r="F46" i="7"/>
  <c r="G45" i="7"/>
  <c r="C41" i="4"/>
  <c r="D41" i="4" s="1"/>
  <c r="C43" i="8" l="1"/>
  <c r="D42" i="8"/>
  <c r="M42" i="5"/>
  <c r="N41" i="5"/>
  <c r="G46" i="7"/>
  <c r="F47" i="7"/>
  <c r="C42" i="4"/>
  <c r="D42" i="4" s="1"/>
  <c r="C44" i="8" l="1"/>
  <c r="D43" i="8"/>
  <c r="M43" i="5"/>
  <c r="N42" i="5"/>
  <c r="F48" i="7"/>
  <c r="G47" i="7"/>
  <c r="C43" i="4"/>
  <c r="D43" i="4" s="1"/>
  <c r="C45" i="8" l="1"/>
  <c r="D44" i="8"/>
  <c r="M44" i="5"/>
  <c r="N43" i="5"/>
  <c r="F49" i="7"/>
  <c r="G48" i="7"/>
  <c r="C44" i="4"/>
  <c r="D44" i="4" s="1"/>
  <c r="C46" i="8" l="1"/>
  <c r="D45" i="8"/>
  <c r="M45" i="5"/>
  <c r="N44" i="5"/>
  <c r="F50" i="7"/>
  <c r="G49" i="7"/>
  <c r="C45" i="4"/>
  <c r="D45" i="4" s="1"/>
  <c r="C47" i="8" l="1"/>
  <c r="D46" i="8"/>
  <c r="M46" i="5"/>
  <c r="N45" i="5"/>
  <c r="F51" i="7"/>
  <c r="G50" i="7"/>
  <c r="C46" i="4"/>
  <c r="D46" i="4" s="1"/>
  <c r="C48" i="8" l="1"/>
  <c r="D47" i="8"/>
  <c r="M47" i="5"/>
  <c r="N46" i="5"/>
  <c r="G51" i="7"/>
  <c r="F52" i="7"/>
  <c r="C47" i="4"/>
  <c r="D47" i="4" s="1"/>
  <c r="C49" i="8" l="1"/>
  <c r="D48" i="8"/>
  <c r="M48" i="5"/>
  <c r="N47" i="5"/>
  <c r="F53" i="7"/>
  <c r="G52" i="7"/>
  <c r="C48" i="4"/>
  <c r="D48" i="4" s="1"/>
  <c r="C50" i="8" l="1"/>
  <c r="D49" i="8"/>
  <c r="M49" i="5"/>
  <c r="N48" i="5"/>
  <c r="F54" i="7"/>
  <c r="G53" i="7"/>
  <c r="C49" i="4"/>
  <c r="D49" i="4" s="1"/>
  <c r="C51" i="8" l="1"/>
  <c r="D50" i="8"/>
  <c r="M50" i="5"/>
  <c r="N49" i="5"/>
  <c r="G54" i="7"/>
  <c r="F55" i="7"/>
  <c r="C50" i="4"/>
  <c r="D50" i="4" s="1"/>
  <c r="C52" i="8" l="1"/>
  <c r="D51" i="8"/>
  <c r="M51" i="5"/>
  <c r="N50" i="5"/>
  <c r="F56" i="7"/>
  <c r="G55" i="7"/>
  <c r="C51" i="4"/>
  <c r="D51" i="4" s="1"/>
  <c r="C53" i="8" l="1"/>
  <c r="D52" i="8"/>
  <c r="M52" i="5"/>
  <c r="N51" i="5"/>
  <c r="F57" i="7"/>
  <c r="G56" i="7"/>
  <c r="C52" i="4"/>
  <c r="D52" i="4" s="1"/>
  <c r="C54" i="8" l="1"/>
  <c r="D53" i="8"/>
  <c r="M53" i="5"/>
  <c r="N52" i="5"/>
  <c r="F58" i="7"/>
  <c r="G57" i="7"/>
  <c r="C53" i="4"/>
  <c r="D53" i="4" s="1"/>
  <c r="C55" i="8" l="1"/>
  <c r="D54" i="8"/>
  <c r="M54" i="5"/>
  <c r="N53" i="5"/>
  <c r="F59" i="7"/>
  <c r="G58" i="7"/>
  <c r="C54" i="4"/>
  <c r="D54" i="4" s="1"/>
  <c r="C56" i="8" l="1"/>
  <c r="D55" i="8"/>
  <c r="M55" i="5"/>
  <c r="N54" i="5"/>
  <c r="G59" i="7"/>
  <c r="F60" i="7"/>
  <c r="C55" i="4"/>
  <c r="D55" i="4" s="1"/>
  <c r="C57" i="8" l="1"/>
  <c r="D56" i="8"/>
  <c r="M56" i="5"/>
  <c r="N55" i="5"/>
  <c r="F61" i="7"/>
  <c r="G60" i="7"/>
  <c r="C56" i="4"/>
  <c r="D56" i="4" s="1"/>
  <c r="C58" i="8" l="1"/>
  <c r="D57" i="8"/>
  <c r="M57" i="5"/>
  <c r="N56" i="5"/>
  <c r="F62" i="7"/>
  <c r="G61" i="7"/>
  <c r="C57" i="4"/>
  <c r="D57" i="4" s="1"/>
  <c r="C59" i="8" l="1"/>
  <c r="D58" i="8"/>
  <c r="M58" i="5"/>
  <c r="N57" i="5"/>
  <c r="G62" i="7"/>
  <c r="F63" i="7"/>
  <c r="C58" i="4"/>
  <c r="D58" i="4" s="1"/>
  <c r="C60" i="8" l="1"/>
  <c r="D59" i="8"/>
  <c r="M59" i="5"/>
  <c r="N58" i="5"/>
  <c r="G63" i="7"/>
  <c r="F64" i="7"/>
  <c r="C59" i="4"/>
  <c r="D59" i="4" s="1"/>
  <c r="C61" i="8" l="1"/>
  <c r="D60" i="8"/>
  <c r="M60" i="5"/>
  <c r="N59" i="5"/>
  <c r="F65" i="7"/>
  <c r="G64" i="7"/>
  <c r="C60" i="4"/>
  <c r="D60" i="4" s="1"/>
  <c r="C62" i="8" l="1"/>
  <c r="D61" i="8"/>
  <c r="M61" i="5"/>
  <c r="N60" i="5"/>
  <c r="G65" i="7"/>
  <c r="F66" i="7"/>
  <c r="C61" i="4"/>
  <c r="D61" i="4" s="1"/>
  <c r="C63" i="8" l="1"/>
  <c r="D62" i="8"/>
  <c r="M62" i="5"/>
  <c r="N61" i="5"/>
  <c r="F67" i="7"/>
  <c r="G66" i="7"/>
  <c r="C62" i="4"/>
  <c r="D62" i="4" s="1"/>
  <c r="C64" i="8" l="1"/>
  <c r="D63" i="8"/>
  <c r="M63" i="5"/>
  <c r="N62" i="5"/>
  <c r="G67" i="7"/>
  <c r="F68" i="7"/>
  <c r="C63" i="4"/>
  <c r="D63" i="4" s="1"/>
  <c r="C65" i="8" l="1"/>
  <c r="D64" i="8"/>
  <c r="M64" i="5"/>
  <c r="N63" i="5"/>
  <c r="F69" i="7"/>
  <c r="G68" i="7"/>
  <c r="C64" i="4"/>
  <c r="D64" i="4" s="1"/>
  <c r="C66" i="8" l="1"/>
  <c r="D65" i="8"/>
  <c r="M65" i="5"/>
  <c r="N64" i="5"/>
  <c r="F70" i="7"/>
  <c r="G69" i="7"/>
  <c r="C65" i="4"/>
  <c r="D65" i="4" s="1"/>
  <c r="C67" i="8" l="1"/>
  <c r="D66" i="8"/>
  <c r="M66" i="5"/>
  <c r="N65" i="5"/>
  <c r="G70" i="7"/>
  <c r="F71" i="7"/>
  <c r="C66" i="4"/>
  <c r="D66" i="4" s="1"/>
  <c r="C68" i="8" l="1"/>
  <c r="D67" i="8"/>
  <c r="M67" i="5"/>
  <c r="N66" i="5"/>
  <c r="F72" i="7"/>
  <c r="G71" i="7"/>
  <c r="C67" i="4"/>
  <c r="D67" i="4" s="1"/>
  <c r="C69" i="8" l="1"/>
  <c r="D68" i="8"/>
  <c r="M68" i="5"/>
  <c r="N67" i="5"/>
  <c r="F73" i="7"/>
  <c r="G72" i="7"/>
  <c r="C68" i="4"/>
  <c r="D68" i="4" s="1"/>
  <c r="C70" i="8" l="1"/>
  <c r="D69" i="8"/>
  <c r="M69" i="5"/>
  <c r="N68" i="5"/>
  <c r="F74" i="7"/>
  <c r="G73" i="7"/>
  <c r="C69" i="4"/>
  <c r="D69" i="4" s="1"/>
  <c r="C71" i="8" l="1"/>
  <c r="D70" i="8"/>
  <c r="M70" i="5"/>
  <c r="N69" i="5"/>
  <c r="F75" i="7"/>
  <c r="G74" i="7"/>
  <c r="C70" i="4"/>
  <c r="D70" i="4" s="1"/>
  <c r="C72" i="8" l="1"/>
  <c r="D71" i="8"/>
  <c r="M71" i="5"/>
  <c r="N70" i="5"/>
  <c r="G75" i="7"/>
  <c r="F76" i="7"/>
  <c r="C71" i="4"/>
  <c r="D71" i="4" s="1"/>
  <c r="C73" i="8" l="1"/>
  <c r="D72" i="8"/>
  <c r="M72" i="5"/>
  <c r="N71" i="5"/>
  <c r="F77" i="7"/>
  <c r="G76" i="7"/>
  <c r="C72" i="4"/>
  <c r="D72" i="4" s="1"/>
  <c r="C74" i="8" l="1"/>
  <c r="D73" i="8"/>
  <c r="M73" i="5"/>
  <c r="N72" i="5"/>
  <c r="F78" i="7"/>
  <c r="G77" i="7"/>
  <c r="C73" i="4"/>
  <c r="D73" i="4" s="1"/>
  <c r="C75" i="8" l="1"/>
  <c r="D74" i="8"/>
  <c r="M74" i="5"/>
  <c r="N73" i="5"/>
  <c r="G78" i="7"/>
  <c r="F79" i="7"/>
  <c r="C74" i="4"/>
  <c r="D74" i="4" s="1"/>
  <c r="C76" i="8" l="1"/>
  <c r="D75" i="8"/>
  <c r="M75" i="5"/>
  <c r="N74" i="5"/>
  <c r="F80" i="7"/>
  <c r="G79" i="7"/>
  <c r="C75" i="4"/>
  <c r="D75" i="4" s="1"/>
  <c r="C77" i="8" l="1"/>
  <c r="D76" i="8"/>
  <c r="M76" i="5"/>
  <c r="N75" i="5"/>
  <c r="F81" i="7"/>
  <c r="G80" i="7"/>
  <c r="C76" i="4"/>
  <c r="D76" i="4" s="1"/>
  <c r="C78" i="8" l="1"/>
  <c r="D77" i="8"/>
  <c r="M77" i="5"/>
  <c r="N76" i="5"/>
  <c r="F82" i="7"/>
  <c r="G81" i="7"/>
  <c r="C77" i="4"/>
  <c r="D77" i="4" s="1"/>
  <c r="C79" i="8" l="1"/>
  <c r="D78" i="8"/>
  <c r="M78" i="5"/>
  <c r="N77" i="5"/>
  <c r="F83" i="7"/>
  <c r="G82" i="7"/>
  <c r="C78" i="4"/>
  <c r="D78" i="4" s="1"/>
  <c r="C80" i="8" l="1"/>
  <c r="D79" i="8"/>
  <c r="M79" i="5"/>
  <c r="N78" i="5"/>
  <c r="G83" i="7"/>
  <c r="F84" i="7"/>
  <c r="C79" i="4"/>
  <c r="D79" i="4" s="1"/>
  <c r="C81" i="8" l="1"/>
  <c r="D80" i="8"/>
  <c r="M80" i="5"/>
  <c r="N79" i="5"/>
  <c r="F85" i="7"/>
  <c r="G84" i="7"/>
  <c r="C80" i="4"/>
  <c r="D80" i="4" s="1"/>
  <c r="C82" i="8" l="1"/>
  <c r="D81" i="8"/>
  <c r="M81" i="5"/>
  <c r="N80" i="5"/>
  <c r="F86" i="7"/>
  <c r="G85" i="7"/>
  <c r="C81" i="4"/>
  <c r="D81" i="4" s="1"/>
  <c r="C83" i="8" l="1"/>
  <c r="D82" i="8"/>
  <c r="M82" i="5"/>
  <c r="N81" i="5"/>
  <c r="G86" i="7"/>
  <c r="F87" i="7"/>
  <c r="C82" i="4"/>
  <c r="D82" i="4" s="1"/>
  <c r="C84" i="8" l="1"/>
  <c r="D83" i="8"/>
  <c r="M83" i="5"/>
  <c r="N82" i="5"/>
  <c r="F88" i="7"/>
  <c r="G87" i="7"/>
  <c r="C83" i="4"/>
  <c r="D83" i="4" s="1"/>
  <c r="C85" i="8" l="1"/>
  <c r="D84" i="8"/>
  <c r="M84" i="5"/>
  <c r="N83" i="5"/>
  <c r="F89" i="7"/>
  <c r="G88" i="7"/>
  <c r="C84" i="4"/>
  <c r="D84" i="4" s="1"/>
  <c r="C86" i="8" l="1"/>
  <c r="D85" i="8"/>
  <c r="M85" i="5"/>
  <c r="N84" i="5"/>
  <c r="F90" i="7"/>
  <c r="G89" i="7"/>
  <c r="C85" i="4"/>
  <c r="D85" i="4" s="1"/>
  <c r="C87" i="8" l="1"/>
  <c r="D86" i="8"/>
  <c r="M86" i="5"/>
  <c r="N85" i="5"/>
  <c r="F91" i="7"/>
  <c r="G90" i="7"/>
  <c r="C86" i="4"/>
  <c r="D86" i="4" s="1"/>
  <c r="C88" i="8" l="1"/>
  <c r="D87" i="8"/>
  <c r="M87" i="5"/>
  <c r="N86" i="5"/>
  <c r="G91" i="7"/>
  <c r="F92" i="7"/>
  <c r="C87" i="4"/>
  <c r="D87" i="4" s="1"/>
  <c r="C89" i="8" l="1"/>
  <c r="D88" i="8"/>
  <c r="M88" i="5"/>
  <c r="N87" i="5"/>
  <c r="F93" i="7"/>
  <c r="G92" i="7"/>
  <c r="C88" i="4"/>
  <c r="D88" i="4" s="1"/>
  <c r="C90" i="8" l="1"/>
  <c r="D89" i="8"/>
  <c r="M89" i="5"/>
  <c r="N88" i="5"/>
  <c r="F94" i="7"/>
  <c r="G93" i="7"/>
  <c r="C89" i="4"/>
  <c r="D89" i="4" s="1"/>
  <c r="C91" i="8" l="1"/>
  <c r="D90" i="8"/>
  <c r="M90" i="5"/>
  <c r="N89" i="5"/>
  <c r="G94" i="7"/>
  <c r="F95" i="7"/>
  <c r="C90" i="4"/>
  <c r="D90" i="4" s="1"/>
  <c r="C92" i="8" l="1"/>
  <c r="D91" i="8"/>
  <c r="M91" i="5"/>
  <c r="N90" i="5"/>
  <c r="G95" i="7"/>
  <c r="F96" i="7"/>
  <c r="C91" i="4"/>
  <c r="D91" i="4" s="1"/>
  <c r="C93" i="8" l="1"/>
  <c r="D92" i="8"/>
  <c r="M92" i="5"/>
  <c r="N91" i="5"/>
  <c r="F97" i="7"/>
  <c r="G96" i="7"/>
  <c r="C92" i="4"/>
  <c r="D92" i="4" s="1"/>
  <c r="C94" i="8" l="1"/>
  <c r="D93" i="8"/>
  <c r="M93" i="5"/>
  <c r="N92" i="5"/>
  <c r="F98" i="7"/>
  <c r="G97" i="7"/>
  <c r="C93" i="4"/>
  <c r="D93" i="4" s="1"/>
  <c r="C95" i="8" l="1"/>
  <c r="D94" i="8"/>
  <c r="M94" i="5"/>
  <c r="N93" i="5"/>
  <c r="F99" i="7"/>
  <c r="G98" i="7"/>
  <c r="C94" i="4"/>
  <c r="D94" i="4" s="1"/>
  <c r="C96" i="8" l="1"/>
  <c r="D95" i="8"/>
  <c r="M95" i="5"/>
  <c r="N94" i="5"/>
  <c r="G99" i="7"/>
  <c r="F100" i="7"/>
  <c r="C95" i="4"/>
  <c r="D95" i="4" s="1"/>
  <c r="C97" i="8" l="1"/>
  <c r="D96" i="8"/>
  <c r="M96" i="5"/>
  <c r="N95" i="5"/>
  <c r="F101" i="7"/>
  <c r="G100" i="7"/>
  <c r="C96" i="4"/>
  <c r="D96" i="4" s="1"/>
  <c r="C98" i="8" l="1"/>
  <c r="D97" i="8"/>
  <c r="M97" i="5"/>
  <c r="N96" i="5"/>
  <c r="F102" i="7"/>
  <c r="G101" i="7"/>
  <c r="C97" i="4"/>
  <c r="D97" i="4" s="1"/>
  <c r="C99" i="8" l="1"/>
  <c r="D98" i="8"/>
  <c r="M98" i="5"/>
  <c r="N97" i="5"/>
  <c r="G102" i="7"/>
  <c r="F103" i="7"/>
  <c r="C98" i="4"/>
  <c r="D98" i="4" s="1"/>
  <c r="C100" i="8" l="1"/>
  <c r="D99" i="8"/>
  <c r="M99" i="5"/>
  <c r="N98" i="5"/>
  <c r="F104" i="7"/>
  <c r="G103" i="7"/>
  <c r="C99" i="4"/>
  <c r="D99" i="4" s="1"/>
  <c r="C101" i="8" l="1"/>
  <c r="D100" i="8"/>
  <c r="M100" i="5"/>
  <c r="N99" i="5"/>
  <c r="F105" i="7"/>
  <c r="G104" i="7"/>
  <c r="C100" i="4"/>
  <c r="D100" i="4" s="1"/>
  <c r="C102" i="8" l="1"/>
  <c r="D101" i="8"/>
  <c r="M101" i="5"/>
  <c r="N100" i="5"/>
  <c r="F106" i="7"/>
  <c r="G105" i="7"/>
  <c r="C101" i="4"/>
  <c r="D101" i="4" s="1"/>
  <c r="C103" i="8" l="1"/>
  <c r="D102" i="8"/>
  <c r="M102" i="5"/>
  <c r="N101" i="5"/>
  <c r="F107" i="7"/>
  <c r="G106" i="7"/>
  <c r="C102" i="4"/>
  <c r="D102" i="4" s="1"/>
  <c r="C104" i="8" l="1"/>
  <c r="D103" i="8"/>
  <c r="M103" i="5"/>
  <c r="N102" i="5"/>
  <c r="G107" i="7"/>
  <c r="F108" i="7"/>
  <c r="C103" i="4"/>
  <c r="D103" i="4" s="1"/>
  <c r="C105" i="8" l="1"/>
  <c r="D104" i="8"/>
  <c r="M104" i="5"/>
  <c r="N103" i="5"/>
  <c r="F109" i="7"/>
  <c r="G108" i="7"/>
  <c r="C104" i="4"/>
  <c r="D104" i="4" s="1"/>
  <c r="C106" i="8" l="1"/>
  <c r="D105" i="8"/>
  <c r="M105" i="5"/>
  <c r="N104" i="5"/>
  <c r="F110" i="7"/>
  <c r="G109" i="7"/>
  <c r="C105" i="4"/>
  <c r="D105" i="4" s="1"/>
  <c r="C107" i="8" l="1"/>
  <c r="D106" i="8"/>
  <c r="M106" i="5"/>
  <c r="N105" i="5"/>
  <c r="G110" i="7"/>
  <c r="F111" i="7"/>
  <c r="C106" i="4"/>
  <c r="D106" i="4" s="1"/>
  <c r="C108" i="8" l="1"/>
  <c r="D107" i="8"/>
  <c r="M107" i="5"/>
  <c r="N106" i="5"/>
  <c r="F112" i="7"/>
  <c r="G111" i="7"/>
  <c r="C107" i="4"/>
  <c r="D107" i="4" s="1"/>
  <c r="C109" i="8" l="1"/>
  <c r="D108" i="8"/>
  <c r="M108" i="5"/>
  <c r="N107" i="5"/>
  <c r="F113" i="7"/>
  <c r="G112" i="7"/>
  <c r="C108" i="4"/>
  <c r="D108" i="4" s="1"/>
  <c r="C110" i="8" l="1"/>
  <c r="D109" i="8"/>
  <c r="M109" i="5"/>
  <c r="N108" i="5"/>
  <c r="G113" i="7"/>
  <c r="F114" i="7"/>
  <c r="C109" i="4"/>
  <c r="D109" i="4" s="1"/>
  <c r="C111" i="8" l="1"/>
  <c r="D110" i="8"/>
  <c r="M110" i="5"/>
  <c r="N109" i="5"/>
  <c r="F115" i="7"/>
  <c r="G114" i="7"/>
  <c r="C110" i="4"/>
  <c r="D110" i="4" s="1"/>
  <c r="C112" i="8" l="1"/>
  <c r="D111" i="8"/>
  <c r="M111" i="5"/>
  <c r="N110" i="5"/>
  <c r="G115" i="7"/>
  <c r="F116" i="7"/>
  <c r="C111" i="4"/>
  <c r="D111" i="4" s="1"/>
  <c r="C113" i="8" l="1"/>
  <c r="D112" i="8"/>
  <c r="M112" i="5"/>
  <c r="N111" i="5"/>
  <c r="F117" i="7"/>
  <c r="G116" i="7"/>
  <c r="C112" i="4"/>
  <c r="D112" i="4" s="1"/>
  <c r="C114" i="8" l="1"/>
  <c r="D113" i="8"/>
  <c r="M113" i="5"/>
  <c r="N112" i="5"/>
  <c r="F118" i="7"/>
  <c r="G117" i="7"/>
  <c r="C113" i="4"/>
  <c r="D113" i="4" s="1"/>
  <c r="C115" i="8" l="1"/>
  <c r="D114" i="8"/>
  <c r="M114" i="5"/>
  <c r="N113" i="5"/>
  <c r="G118" i="7"/>
  <c r="F119" i="7"/>
  <c r="C114" i="4"/>
  <c r="D114" i="4" s="1"/>
  <c r="C116" i="8" l="1"/>
  <c r="D115" i="8"/>
  <c r="M115" i="5"/>
  <c r="N114" i="5"/>
  <c r="G119" i="7"/>
  <c r="F120" i="7"/>
  <c r="C115" i="4"/>
  <c r="D115" i="4" s="1"/>
  <c r="C117" i="8" l="1"/>
  <c r="D116" i="8"/>
  <c r="M116" i="5"/>
  <c r="N115" i="5"/>
  <c r="F121" i="7"/>
  <c r="G120" i="7"/>
  <c r="C116" i="4"/>
  <c r="D116" i="4" s="1"/>
  <c r="C118" i="8" l="1"/>
  <c r="D117" i="8"/>
  <c r="M117" i="5"/>
  <c r="N116" i="5"/>
  <c r="G121" i="7"/>
  <c r="F122" i="7"/>
  <c r="C117" i="4"/>
  <c r="D117" i="4" s="1"/>
  <c r="C119" i="8" l="1"/>
  <c r="D118" i="8"/>
  <c r="M118" i="5"/>
  <c r="N117" i="5"/>
  <c r="F123" i="7"/>
  <c r="G122" i="7"/>
  <c r="C118" i="4"/>
  <c r="D118" i="4" s="1"/>
  <c r="C120" i="8" l="1"/>
  <c r="D119" i="8"/>
  <c r="M119" i="5"/>
  <c r="N118" i="5"/>
  <c r="G123" i="7"/>
  <c r="F124" i="7"/>
  <c r="C119" i="4"/>
  <c r="D119" i="4" s="1"/>
  <c r="C121" i="8" l="1"/>
  <c r="D120" i="8"/>
  <c r="M120" i="5"/>
  <c r="N119" i="5"/>
  <c r="F125" i="7"/>
  <c r="G124" i="7"/>
  <c r="C120" i="4"/>
  <c r="D120" i="4" s="1"/>
  <c r="C122" i="8" l="1"/>
  <c r="D121" i="8"/>
  <c r="M121" i="5"/>
  <c r="N120" i="5"/>
  <c r="F126" i="7"/>
  <c r="G125" i="7"/>
  <c r="C121" i="4"/>
  <c r="D121" i="4" s="1"/>
  <c r="C123" i="8" l="1"/>
  <c r="D122" i="8"/>
  <c r="M122" i="5"/>
  <c r="N121" i="5"/>
  <c r="G126" i="7"/>
  <c r="F127" i="7"/>
  <c r="C122" i="4"/>
  <c r="D122" i="4" s="1"/>
  <c r="C124" i="8" l="1"/>
  <c r="D123" i="8"/>
  <c r="M123" i="5"/>
  <c r="N122" i="5"/>
  <c r="G127" i="7"/>
  <c r="F128" i="7"/>
  <c r="C123" i="4"/>
  <c r="D123" i="4" s="1"/>
  <c r="C125" i="8" l="1"/>
  <c r="D124" i="8"/>
  <c r="M124" i="5"/>
  <c r="N123" i="5"/>
  <c r="F129" i="7"/>
  <c r="G128" i="7"/>
  <c r="C124" i="4"/>
  <c r="D124" i="4" s="1"/>
  <c r="C126" i="8" l="1"/>
  <c r="D125" i="8"/>
  <c r="M125" i="5"/>
  <c r="N124" i="5"/>
  <c r="F130" i="7"/>
  <c r="G129" i="7"/>
  <c r="C125" i="4"/>
  <c r="D125" i="4" s="1"/>
  <c r="C127" i="8" l="1"/>
  <c r="D126" i="8"/>
  <c r="M126" i="5"/>
  <c r="N125" i="5"/>
  <c r="F131" i="7"/>
  <c r="G130" i="7"/>
  <c r="C126" i="4"/>
  <c r="D126" i="4" s="1"/>
  <c r="C128" i="8" l="1"/>
  <c r="D127" i="8"/>
  <c r="M127" i="5"/>
  <c r="N126" i="5"/>
  <c r="G131" i="7"/>
  <c r="F132" i="7"/>
  <c r="C127" i="4"/>
  <c r="D127" i="4" s="1"/>
  <c r="C129" i="8" l="1"/>
  <c r="D128" i="8"/>
  <c r="M128" i="5"/>
  <c r="N127" i="5"/>
  <c r="F133" i="7"/>
  <c r="G132" i="7"/>
  <c r="C128" i="4"/>
  <c r="D128" i="4" s="1"/>
  <c r="C130" i="8" l="1"/>
  <c r="D129" i="8"/>
  <c r="M129" i="5"/>
  <c r="N128" i="5"/>
  <c r="F134" i="7"/>
  <c r="G133" i="7"/>
  <c r="C129" i="4"/>
  <c r="D129" i="4" s="1"/>
  <c r="C131" i="8" l="1"/>
  <c r="D130" i="8"/>
  <c r="M130" i="5"/>
  <c r="N130" i="5" s="1"/>
  <c r="N129" i="5"/>
  <c r="O130" i="5"/>
  <c r="O129" i="5" s="1"/>
  <c r="O128" i="5" s="1"/>
  <c r="O127" i="5" s="1"/>
  <c r="G134" i="7"/>
  <c r="F135" i="7"/>
  <c r="C130" i="4"/>
  <c r="D130" i="4" s="1"/>
  <c r="C132" i="8" l="1"/>
  <c r="D131" i="8"/>
  <c r="O126" i="5"/>
  <c r="P127" i="5"/>
  <c r="P129" i="5"/>
  <c r="P128" i="5"/>
  <c r="P130" i="5"/>
  <c r="G135" i="7"/>
  <c r="F138" i="7"/>
  <c r="C131" i="4"/>
  <c r="D131" i="4" s="1"/>
  <c r="C133" i="8" l="1"/>
  <c r="D132" i="8"/>
  <c r="O125" i="5"/>
  <c r="P126" i="5"/>
  <c r="H135" i="7"/>
  <c r="G138" i="7"/>
  <c r="C132" i="4"/>
  <c r="D132" i="4" s="1"/>
  <c r="C134" i="8" l="1"/>
  <c r="D133" i="8"/>
  <c r="O124" i="5"/>
  <c r="P125" i="5"/>
  <c r="H134" i="7"/>
  <c r="I135" i="7"/>
  <c r="C133" i="4"/>
  <c r="D133" i="4" s="1"/>
  <c r="C135" i="8" l="1"/>
  <c r="D134" i="8"/>
  <c r="O123" i="5"/>
  <c r="P124" i="5"/>
  <c r="H133" i="7"/>
  <c r="I134" i="7"/>
  <c r="C134" i="4"/>
  <c r="D134" i="4" s="1"/>
  <c r="C136" i="8" l="1"/>
  <c r="D135" i="8"/>
  <c r="O122" i="5"/>
  <c r="P123" i="5"/>
  <c r="I133" i="7"/>
  <c r="H132" i="7"/>
  <c r="C135" i="4"/>
  <c r="D135" i="4" s="1"/>
  <c r="C137" i="8" l="1"/>
  <c r="D136" i="8"/>
  <c r="O121" i="5"/>
  <c r="P122" i="5"/>
  <c r="H131" i="7"/>
  <c r="I132" i="7"/>
  <c r="C136" i="4"/>
  <c r="D136" i="4" s="1"/>
  <c r="C138" i="8" l="1"/>
  <c r="D137" i="8"/>
  <c r="O120" i="5"/>
  <c r="P121" i="5"/>
  <c r="I131" i="7"/>
  <c r="H130" i="7"/>
  <c r="C137" i="4"/>
  <c r="D137" i="4" s="1"/>
  <c r="C139" i="8" l="1"/>
  <c r="D138" i="8"/>
  <c r="O119" i="5"/>
  <c r="P120" i="5"/>
  <c r="I130" i="7"/>
  <c r="H129" i="7"/>
  <c r="C138" i="4"/>
  <c r="D138" i="4" s="1"/>
  <c r="C140" i="8" l="1"/>
  <c r="D139" i="8"/>
  <c r="O118" i="5"/>
  <c r="P119" i="5"/>
  <c r="H128" i="7"/>
  <c r="I129" i="7"/>
  <c r="C139" i="4"/>
  <c r="D139" i="4" s="1"/>
  <c r="C141" i="8" l="1"/>
  <c r="D140" i="8"/>
  <c r="O117" i="5"/>
  <c r="P118" i="5"/>
  <c r="I128" i="7"/>
  <c r="H127" i="7"/>
  <c r="C140" i="4"/>
  <c r="D140" i="4" s="1"/>
  <c r="C142" i="8" l="1"/>
  <c r="D141" i="8"/>
  <c r="O116" i="5"/>
  <c r="P117" i="5"/>
  <c r="H126" i="7"/>
  <c r="I127" i="7"/>
  <c r="C141" i="4"/>
  <c r="D141" i="4" s="1"/>
  <c r="C143" i="8" l="1"/>
  <c r="D142" i="8"/>
  <c r="O115" i="5"/>
  <c r="P116" i="5"/>
  <c r="I126" i="7"/>
  <c r="H125" i="7"/>
  <c r="C142" i="4"/>
  <c r="D142" i="4" s="1"/>
  <c r="C144" i="8" l="1"/>
  <c r="D143" i="8"/>
  <c r="O114" i="5"/>
  <c r="P115" i="5"/>
  <c r="I125" i="7"/>
  <c r="H124" i="7"/>
  <c r="C143" i="4"/>
  <c r="D143" i="4" s="1"/>
  <c r="C145" i="8" l="1"/>
  <c r="D144" i="8"/>
  <c r="O113" i="5"/>
  <c r="P114" i="5"/>
  <c r="H123" i="7"/>
  <c r="I124" i="7"/>
  <c r="C144" i="4"/>
  <c r="D144" i="4" s="1"/>
  <c r="C146" i="8" l="1"/>
  <c r="D145" i="8"/>
  <c r="O112" i="5"/>
  <c r="P113" i="5"/>
  <c r="I123" i="7"/>
  <c r="H122" i="7"/>
  <c r="C145" i="4"/>
  <c r="D145" i="4" s="1"/>
  <c r="C147" i="8" l="1"/>
  <c r="D146" i="8"/>
  <c r="O111" i="5"/>
  <c r="P112" i="5"/>
  <c r="I122" i="7"/>
  <c r="H121" i="7"/>
  <c r="C146" i="4"/>
  <c r="D146" i="4" s="1"/>
  <c r="C148" i="8" l="1"/>
  <c r="D147" i="8"/>
  <c r="O110" i="5"/>
  <c r="P111" i="5"/>
  <c r="H120" i="7"/>
  <c r="I121" i="7"/>
  <c r="C147" i="4"/>
  <c r="D147" i="4" s="1"/>
  <c r="C149" i="8" l="1"/>
  <c r="D148" i="8"/>
  <c r="O109" i="5"/>
  <c r="P110" i="5"/>
  <c r="I120" i="7"/>
  <c r="H119" i="7"/>
  <c r="C148" i="4"/>
  <c r="D148" i="4" s="1"/>
  <c r="C150" i="8" l="1"/>
  <c r="D149" i="8"/>
  <c r="O108" i="5"/>
  <c r="P109" i="5"/>
  <c r="H118" i="7"/>
  <c r="I119" i="7"/>
  <c r="C149" i="4"/>
  <c r="D149" i="4" s="1"/>
  <c r="C151" i="8" l="1"/>
  <c r="D150" i="8"/>
  <c r="O107" i="5"/>
  <c r="P108" i="5"/>
  <c r="H117" i="7"/>
  <c r="I118" i="7"/>
  <c r="C150" i="4"/>
  <c r="D150" i="4" s="1"/>
  <c r="C152" i="8" l="1"/>
  <c r="D151" i="8"/>
  <c r="O106" i="5"/>
  <c r="P107" i="5"/>
  <c r="I117" i="7"/>
  <c r="H116" i="7"/>
  <c r="C151" i="4"/>
  <c r="D151" i="4" s="1"/>
  <c r="C153" i="8" l="1"/>
  <c r="D152" i="8"/>
  <c r="O105" i="5"/>
  <c r="P106" i="5"/>
  <c r="H115" i="7"/>
  <c r="I116" i="7"/>
  <c r="C152" i="4"/>
  <c r="D152" i="4" s="1"/>
  <c r="C154" i="8" l="1"/>
  <c r="D153" i="8"/>
  <c r="O104" i="5"/>
  <c r="P105" i="5"/>
  <c r="I115" i="7"/>
  <c r="H114" i="7"/>
  <c r="C153" i="4"/>
  <c r="D153" i="4" s="1"/>
  <c r="C155" i="8" l="1"/>
  <c r="D154" i="8"/>
  <c r="O103" i="5"/>
  <c r="P104" i="5"/>
  <c r="I114" i="7"/>
  <c r="H113" i="7"/>
  <c r="C154" i="4"/>
  <c r="D154" i="4" s="1"/>
  <c r="C156" i="8" l="1"/>
  <c r="D155" i="8"/>
  <c r="O102" i="5"/>
  <c r="P103" i="5"/>
  <c r="H112" i="7"/>
  <c r="I113" i="7"/>
  <c r="C155" i="4"/>
  <c r="D155" i="4" s="1"/>
  <c r="C157" i="8" l="1"/>
  <c r="D156" i="8"/>
  <c r="O101" i="5"/>
  <c r="P102" i="5"/>
  <c r="I112" i="7"/>
  <c r="H111" i="7"/>
  <c r="C156" i="4"/>
  <c r="D156" i="4" s="1"/>
  <c r="C158" i="8" l="1"/>
  <c r="D157" i="8"/>
  <c r="O100" i="5"/>
  <c r="P101" i="5"/>
  <c r="H110" i="7"/>
  <c r="I111" i="7"/>
  <c r="C157" i="4"/>
  <c r="D157" i="4" s="1"/>
  <c r="C159" i="8" l="1"/>
  <c r="D158" i="8"/>
  <c r="O99" i="5"/>
  <c r="P100" i="5"/>
  <c r="H109" i="7"/>
  <c r="I110" i="7"/>
  <c r="C158" i="4"/>
  <c r="D158" i="4" s="1"/>
  <c r="C160" i="8" l="1"/>
  <c r="D159" i="8"/>
  <c r="O98" i="5"/>
  <c r="P99" i="5"/>
  <c r="I109" i="7"/>
  <c r="H108" i="7"/>
  <c r="C159" i="4"/>
  <c r="D159" i="4" s="1"/>
  <c r="C161" i="8" l="1"/>
  <c r="D160" i="8"/>
  <c r="O97" i="5"/>
  <c r="P98" i="5"/>
  <c r="H107" i="7"/>
  <c r="I108" i="7"/>
  <c r="C160" i="4"/>
  <c r="D160" i="4" s="1"/>
  <c r="C162" i="8" l="1"/>
  <c r="D161" i="8"/>
  <c r="O96" i="5"/>
  <c r="P97" i="5"/>
  <c r="I107" i="7"/>
  <c r="H106" i="7"/>
  <c r="C161" i="4"/>
  <c r="D161" i="4" s="1"/>
  <c r="C163" i="8" l="1"/>
  <c r="D162" i="8"/>
  <c r="O95" i="5"/>
  <c r="P96" i="5"/>
  <c r="I106" i="7"/>
  <c r="H105" i="7"/>
  <c r="C162" i="4"/>
  <c r="D162" i="4" s="1"/>
  <c r="C164" i="8" l="1"/>
  <c r="D163" i="8"/>
  <c r="O94" i="5"/>
  <c r="P95" i="5"/>
  <c r="H104" i="7"/>
  <c r="I105" i="7"/>
  <c r="C163" i="4"/>
  <c r="D163" i="4" s="1"/>
  <c r="C165" i="8" l="1"/>
  <c r="D164" i="8"/>
  <c r="O93" i="5"/>
  <c r="P94" i="5"/>
  <c r="I104" i="7"/>
  <c r="H103" i="7"/>
  <c r="C164" i="4"/>
  <c r="D164" i="4" s="1"/>
  <c r="C166" i="8" l="1"/>
  <c r="D165" i="8"/>
  <c r="O92" i="5"/>
  <c r="P93" i="5"/>
  <c r="H102" i="7"/>
  <c r="I103" i="7"/>
  <c r="C165" i="4"/>
  <c r="D165" i="4" s="1"/>
  <c r="C167" i="8" l="1"/>
  <c r="D166" i="8"/>
  <c r="O91" i="5"/>
  <c r="P92" i="5"/>
  <c r="H101" i="7"/>
  <c r="I102" i="7"/>
  <c r="C166" i="4"/>
  <c r="D166" i="4" s="1"/>
  <c r="C168" i="8" l="1"/>
  <c r="D167" i="8"/>
  <c r="O90" i="5"/>
  <c r="P91" i="5"/>
  <c r="I101" i="7"/>
  <c r="H100" i="7"/>
  <c r="C167" i="4"/>
  <c r="D167" i="4" s="1"/>
  <c r="C169" i="8" l="1"/>
  <c r="D168" i="8"/>
  <c r="O89" i="5"/>
  <c r="P90" i="5"/>
  <c r="H99" i="7"/>
  <c r="I100" i="7"/>
  <c r="C168" i="4"/>
  <c r="D168" i="4" s="1"/>
  <c r="C170" i="8" l="1"/>
  <c r="D169" i="8"/>
  <c r="O88" i="5"/>
  <c r="P89" i="5"/>
  <c r="I99" i="7"/>
  <c r="H98" i="7"/>
  <c r="C169" i="4"/>
  <c r="D169" i="4" s="1"/>
  <c r="C171" i="8" l="1"/>
  <c r="D170" i="8"/>
  <c r="O87" i="5"/>
  <c r="P88" i="5"/>
  <c r="I98" i="7"/>
  <c r="H97" i="7"/>
  <c r="C170" i="4"/>
  <c r="D170" i="4" s="1"/>
  <c r="C172" i="8" l="1"/>
  <c r="D171" i="8"/>
  <c r="O86" i="5"/>
  <c r="P87" i="5"/>
  <c r="H96" i="7"/>
  <c r="I97" i="7"/>
  <c r="C171" i="4"/>
  <c r="D171" i="4" s="1"/>
  <c r="C173" i="8" l="1"/>
  <c r="D172" i="8"/>
  <c r="O85" i="5"/>
  <c r="P86" i="5"/>
  <c r="I96" i="7"/>
  <c r="H95" i="7"/>
  <c r="C172" i="4"/>
  <c r="D172" i="4" s="1"/>
  <c r="C174" i="8" l="1"/>
  <c r="D173" i="8"/>
  <c r="O84" i="5"/>
  <c r="P85" i="5"/>
  <c r="H94" i="7"/>
  <c r="I95" i="7"/>
  <c r="C173" i="4"/>
  <c r="D173" i="4" s="1"/>
  <c r="C175" i="8" l="1"/>
  <c r="D174" i="8"/>
  <c r="O83" i="5"/>
  <c r="P84" i="5"/>
  <c r="H93" i="7"/>
  <c r="I94" i="7"/>
  <c r="C174" i="4"/>
  <c r="D174" i="4" s="1"/>
  <c r="C176" i="8" l="1"/>
  <c r="D175" i="8"/>
  <c r="O82" i="5"/>
  <c r="P83" i="5"/>
  <c r="I93" i="7"/>
  <c r="H92" i="7"/>
  <c r="C175" i="4"/>
  <c r="D175" i="4" s="1"/>
  <c r="C177" i="8" l="1"/>
  <c r="D176" i="8"/>
  <c r="O81" i="5"/>
  <c r="P82" i="5"/>
  <c r="H91" i="7"/>
  <c r="I92" i="7"/>
  <c r="C176" i="4"/>
  <c r="D176" i="4" s="1"/>
  <c r="C178" i="8" l="1"/>
  <c r="D177" i="8"/>
  <c r="O80" i="5"/>
  <c r="P81" i="5"/>
  <c r="I91" i="7"/>
  <c r="H90" i="7"/>
  <c r="C177" i="4"/>
  <c r="D177" i="4" s="1"/>
  <c r="C179" i="8" l="1"/>
  <c r="D178" i="8"/>
  <c r="O79" i="5"/>
  <c r="P80" i="5"/>
  <c r="I90" i="7"/>
  <c r="H89" i="7"/>
  <c r="C178" i="4"/>
  <c r="D178" i="4" s="1"/>
  <c r="C180" i="8" l="1"/>
  <c r="D179" i="8"/>
  <c r="O78" i="5"/>
  <c r="P79" i="5"/>
  <c r="H88" i="7"/>
  <c r="I89" i="7"/>
  <c r="C179" i="4"/>
  <c r="D179" i="4" s="1"/>
  <c r="C181" i="8" l="1"/>
  <c r="D180" i="8"/>
  <c r="O77" i="5"/>
  <c r="P78" i="5"/>
  <c r="I88" i="7"/>
  <c r="H87" i="7"/>
  <c r="C180" i="4"/>
  <c r="D180" i="4" s="1"/>
  <c r="C182" i="8" l="1"/>
  <c r="D181" i="8"/>
  <c r="O76" i="5"/>
  <c r="P77" i="5"/>
  <c r="H86" i="7"/>
  <c r="I87" i="7"/>
  <c r="C181" i="4"/>
  <c r="D181" i="4" s="1"/>
  <c r="C183" i="8" l="1"/>
  <c r="D182" i="8"/>
  <c r="O75" i="5"/>
  <c r="P76" i="5"/>
  <c r="H85" i="7"/>
  <c r="I86" i="7"/>
  <c r="C182" i="4"/>
  <c r="D182" i="4" s="1"/>
  <c r="C184" i="8" l="1"/>
  <c r="D183" i="8"/>
  <c r="O74" i="5"/>
  <c r="P75" i="5"/>
  <c r="I85" i="7"/>
  <c r="H84" i="7"/>
  <c r="C183" i="4"/>
  <c r="D183" i="4" s="1"/>
  <c r="C185" i="8" l="1"/>
  <c r="D184" i="8"/>
  <c r="O73" i="5"/>
  <c r="P74" i="5"/>
  <c r="H83" i="7"/>
  <c r="I84" i="7"/>
  <c r="C184" i="4"/>
  <c r="D184" i="4" s="1"/>
  <c r="C186" i="8" l="1"/>
  <c r="D185" i="8"/>
  <c r="O72" i="5"/>
  <c r="P73" i="5"/>
  <c r="I83" i="7"/>
  <c r="H82" i="7"/>
  <c r="C185" i="4"/>
  <c r="D185" i="4" s="1"/>
  <c r="C187" i="8" l="1"/>
  <c r="D186" i="8"/>
  <c r="O71" i="5"/>
  <c r="P72" i="5"/>
  <c r="I82" i="7"/>
  <c r="H81" i="7"/>
  <c r="C186" i="4"/>
  <c r="D186" i="4" s="1"/>
  <c r="C188" i="8" l="1"/>
  <c r="D187" i="8"/>
  <c r="O70" i="5"/>
  <c r="P71" i="5"/>
  <c r="H80" i="7"/>
  <c r="I81" i="7"/>
  <c r="C187" i="4"/>
  <c r="D187" i="4" s="1"/>
  <c r="C189" i="8" l="1"/>
  <c r="D188" i="8"/>
  <c r="O69" i="5"/>
  <c r="P70" i="5"/>
  <c r="I80" i="7"/>
  <c r="H79" i="7"/>
  <c r="C188" i="4"/>
  <c r="D188" i="4" s="1"/>
  <c r="C190" i="8" l="1"/>
  <c r="D189" i="8"/>
  <c r="O68" i="5"/>
  <c r="P69" i="5"/>
  <c r="H78" i="7"/>
  <c r="I79" i="7"/>
  <c r="C189" i="4"/>
  <c r="D189" i="4" s="1"/>
  <c r="C191" i="8" l="1"/>
  <c r="D190" i="8"/>
  <c r="O67" i="5"/>
  <c r="P68" i="5"/>
  <c r="I78" i="7"/>
  <c r="H77" i="7"/>
  <c r="C190" i="4"/>
  <c r="D190" i="4" s="1"/>
  <c r="C192" i="8" l="1"/>
  <c r="D191" i="8"/>
  <c r="O66" i="5"/>
  <c r="P67" i="5"/>
  <c r="I77" i="7"/>
  <c r="H76" i="7"/>
  <c r="C191" i="4"/>
  <c r="D191" i="4" s="1"/>
  <c r="C193" i="8" l="1"/>
  <c r="D192" i="8"/>
  <c r="O65" i="5"/>
  <c r="P66" i="5"/>
  <c r="H75" i="7"/>
  <c r="I76" i="7"/>
  <c r="C192" i="4"/>
  <c r="D192" i="4" s="1"/>
  <c r="C194" i="8" l="1"/>
  <c r="D193" i="8"/>
  <c r="O64" i="5"/>
  <c r="P65" i="5"/>
  <c r="I75" i="7"/>
  <c r="H74" i="7"/>
  <c r="C193" i="4"/>
  <c r="D193" i="4" s="1"/>
  <c r="C195" i="8" l="1"/>
  <c r="D194" i="8"/>
  <c r="O63" i="5"/>
  <c r="P64" i="5"/>
  <c r="I74" i="7"/>
  <c r="H73" i="7"/>
  <c r="C194" i="4"/>
  <c r="D194" i="4" s="1"/>
  <c r="C196" i="8" l="1"/>
  <c r="D195" i="8"/>
  <c r="O62" i="5"/>
  <c r="P63" i="5"/>
  <c r="H72" i="7"/>
  <c r="I73" i="7"/>
  <c r="C195" i="4"/>
  <c r="D195" i="4" s="1"/>
  <c r="C197" i="8" l="1"/>
  <c r="D196" i="8"/>
  <c r="O61" i="5"/>
  <c r="P62" i="5"/>
  <c r="I72" i="7"/>
  <c r="H71" i="7"/>
  <c r="C196" i="4"/>
  <c r="D196" i="4" s="1"/>
  <c r="C198" i="8" l="1"/>
  <c r="D197" i="8"/>
  <c r="O60" i="5"/>
  <c r="P61" i="5"/>
  <c r="H70" i="7"/>
  <c r="I71" i="7"/>
  <c r="C197" i="4"/>
  <c r="D197" i="4" s="1"/>
  <c r="C199" i="8" l="1"/>
  <c r="D198" i="8"/>
  <c r="O59" i="5"/>
  <c r="P60" i="5"/>
  <c r="I70" i="7"/>
  <c r="H69" i="7"/>
  <c r="C198" i="4"/>
  <c r="D198" i="4" s="1"/>
  <c r="C200" i="8" l="1"/>
  <c r="D199" i="8"/>
  <c r="O58" i="5"/>
  <c r="P59" i="5"/>
  <c r="I69" i="7"/>
  <c r="H68" i="7"/>
  <c r="C199" i="4"/>
  <c r="D199" i="4" s="1"/>
  <c r="C201" i="8" l="1"/>
  <c r="D200" i="8"/>
  <c r="O57" i="5"/>
  <c r="P58" i="5"/>
  <c r="H67" i="7"/>
  <c r="I68" i="7"/>
  <c r="C200" i="4"/>
  <c r="D200" i="4" s="1"/>
  <c r="C202" i="8" l="1"/>
  <c r="D201" i="8"/>
  <c r="O56" i="5"/>
  <c r="P57" i="5"/>
  <c r="I67" i="7"/>
  <c r="H66" i="7"/>
  <c r="C201" i="4"/>
  <c r="D201" i="4" s="1"/>
  <c r="C203" i="8" l="1"/>
  <c r="D202" i="8"/>
  <c r="O55" i="5"/>
  <c r="P56" i="5"/>
  <c r="I66" i="7"/>
  <c r="H65" i="7"/>
  <c r="C202" i="4"/>
  <c r="D202" i="4" s="1"/>
  <c r="C204" i="8" l="1"/>
  <c r="D203" i="8"/>
  <c r="O54" i="5"/>
  <c r="P55" i="5"/>
  <c r="H64" i="7"/>
  <c r="I65" i="7"/>
  <c r="C203" i="4"/>
  <c r="D203" i="4" s="1"/>
  <c r="C205" i="8" l="1"/>
  <c r="D204" i="8"/>
  <c r="O53" i="5"/>
  <c r="P54" i="5"/>
  <c r="I64" i="7"/>
  <c r="H63" i="7"/>
  <c r="C204" i="4"/>
  <c r="D204" i="4" s="1"/>
  <c r="C206" i="8" l="1"/>
  <c r="D205" i="8"/>
  <c r="O52" i="5"/>
  <c r="P53" i="5"/>
  <c r="H62" i="7"/>
  <c r="I63" i="7"/>
  <c r="C205" i="4"/>
  <c r="D205" i="4" s="1"/>
  <c r="C207" i="8" l="1"/>
  <c r="D206" i="8"/>
  <c r="O51" i="5"/>
  <c r="P52" i="5"/>
  <c r="H61" i="7"/>
  <c r="I62" i="7"/>
  <c r="C206" i="4"/>
  <c r="D206" i="4" s="1"/>
  <c r="C208" i="8" l="1"/>
  <c r="D207" i="8"/>
  <c r="O50" i="5"/>
  <c r="P51" i="5"/>
  <c r="I61" i="7"/>
  <c r="H60" i="7"/>
  <c r="C207" i="4"/>
  <c r="D207" i="4" s="1"/>
  <c r="C209" i="8" l="1"/>
  <c r="D208" i="8"/>
  <c r="O49" i="5"/>
  <c r="P50" i="5"/>
  <c r="H59" i="7"/>
  <c r="I60" i="7"/>
  <c r="C208" i="4"/>
  <c r="D208" i="4" s="1"/>
  <c r="C210" i="8" l="1"/>
  <c r="D209" i="8"/>
  <c r="O48" i="5"/>
  <c r="P49" i="5"/>
  <c r="I59" i="7"/>
  <c r="H58" i="7"/>
  <c r="C209" i="4"/>
  <c r="D209" i="4" s="1"/>
  <c r="C211" i="8" l="1"/>
  <c r="D210" i="8"/>
  <c r="O47" i="5"/>
  <c r="P48" i="5"/>
  <c r="I58" i="7"/>
  <c r="H57" i="7"/>
  <c r="C210" i="4"/>
  <c r="D210" i="4" s="1"/>
  <c r="C212" i="8" l="1"/>
  <c r="D211" i="8"/>
  <c r="O46" i="5"/>
  <c r="P47" i="5"/>
  <c r="H56" i="7"/>
  <c r="I57" i="7"/>
  <c r="C211" i="4"/>
  <c r="D211" i="4" s="1"/>
  <c r="C213" i="8" l="1"/>
  <c r="D212" i="8"/>
  <c r="O45" i="5"/>
  <c r="P46" i="5"/>
  <c r="I56" i="7"/>
  <c r="H55" i="7"/>
  <c r="C212" i="4"/>
  <c r="D212" i="4" s="1"/>
  <c r="C214" i="8" l="1"/>
  <c r="D213" i="8"/>
  <c r="O44" i="5"/>
  <c r="P45" i="5"/>
  <c r="H54" i="7"/>
  <c r="I55" i="7"/>
  <c r="C213" i="4"/>
  <c r="D213" i="4" s="1"/>
  <c r="C215" i="8" l="1"/>
  <c r="D214" i="8"/>
  <c r="O43" i="5"/>
  <c r="P44" i="5"/>
  <c r="I54" i="7"/>
  <c r="H53" i="7"/>
  <c r="C214" i="4"/>
  <c r="D214" i="4" s="1"/>
  <c r="C216" i="8" l="1"/>
  <c r="D215" i="8"/>
  <c r="O42" i="5"/>
  <c r="P43" i="5"/>
  <c r="I53" i="7"/>
  <c r="H52" i="7"/>
  <c r="C215" i="4"/>
  <c r="D215" i="4" s="1"/>
  <c r="C217" i="8" l="1"/>
  <c r="D216" i="8"/>
  <c r="O41" i="5"/>
  <c r="P42" i="5"/>
  <c r="H51" i="7"/>
  <c r="I52" i="7"/>
  <c r="C216" i="4"/>
  <c r="D216" i="4" s="1"/>
  <c r="C218" i="8" l="1"/>
  <c r="D217" i="8"/>
  <c r="O40" i="5"/>
  <c r="P41" i="5"/>
  <c r="I51" i="7"/>
  <c r="H50" i="7"/>
  <c r="C217" i="4"/>
  <c r="D217" i="4" s="1"/>
  <c r="C219" i="8" l="1"/>
  <c r="D218" i="8"/>
  <c r="O39" i="5"/>
  <c r="P40" i="5"/>
  <c r="I50" i="7"/>
  <c r="H49" i="7"/>
  <c r="C218" i="4"/>
  <c r="D218" i="4" s="1"/>
  <c r="C220" i="8" l="1"/>
  <c r="D219" i="8"/>
  <c r="O38" i="5"/>
  <c r="P39" i="5"/>
  <c r="H48" i="7"/>
  <c r="I49" i="7"/>
  <c r="C219" i="4"/>
  <c r="D219" i="4" s="1"/>
  <c r="C221" i="8" l="1"/>
  <c r="D220" i="8"/>
  <c r="O37" i="5"/>
  <c r="P38" i="5"/>
  <c r="I48" i="7"/>
  <c r="H47" i="7"/>
  <c r="C220" i="4"/>
  <c r="D220" i="4" s="1"/>
  <c r="C222" i="8" l="1"/>
  <c r="D221" i="8"/>
  <c r="O36" i="5"/>
  <c r="P37" i="5"/>
  <c r="H46" i="7"/>
  <c r="I47" i="7"/>
  <c r="C221" i="4"/>
  <c r="D221" i="4" s="1"/>
  <c r="C223" i="8" l="1"/>
  <c r="D222" i="8"/>
  <c r="O35" i="5"/>
  <c r="P36" i="5"/>
  <c r="I46" i="7"/>
  <c r="H45" i="7"/>
  <c r="C222" i="4"/>
  <c r="D222" i="4" s="1"/>
  <c r="C224" i="8" l="1"/>
  <c r="D223" i="8"/>
  <c r="O34" i="5"/>
  <c r="P35" i="5"/>
  <c r="I45" i="7"/>
  <c r="H44" i="7"/>
  <c r="C223" i="4"/>
  <c r="D223" i="4" s="1"/>
  <c r="C225" i="8" l="1"/>
  <c r="D224" i="8"/>
  <c r="O33" i="5"/>
  <c r="P34" i="5"/>
  <c r="H43" i="7"/>
  <c r="I44" i="7"/>
  <c r="C224" i="4"/>
  <c r="D224" i="4" s="1"/>
  <c r="C226" i="8" l="1"/>
  <c r="D225" i="8"/>
  <c r="O32" i="5"/>
  <c r="P33" i="5"/>
  <c r="I43" i="7"/>
  <c r="H42" i="7"/>
  <c r="C225" i="4"/>
  <c r="D225" i="4" s="1"/>
  <c r="C227" i="8" l="1"/>
  <c r="D226" i="8"/>
  <c r="O31" i="5"/>
  <c r="P32" i="5"/>
  <c r="I42" i="7"/>
  <c r="H41" i="7"/>
  <c r="C226" i="4"/>
  <c r="D226" i="4" s="1"/>
  <c r="C228" i="8" l="1"/>
  <c r="D227" i="8"/>
  <c r="O30" i="5"/>
  <c r="P31" i="5"/>
  <c r="H40" i="7"/>
  <c r="I41" i="7"/>
  <c r="C227" i="4"/>
  <c r="D227" i="4" s="1"/>
  <c r="C229" i="8" l="1"/>
  <c r="D228" i="8"/>
  <c r="O29" i="5"/>
  <c r="P30" i="5"/>
  <c r="I40" i="7"/>
  <c r="H39" i="7"/>
  <c r="C228" i="4"/>
  <c r="D228" i="4" s="1"/>
  <c r="C230" i="8" l="1"/>
  <c r="D229" i="8"/>
  <c r="O28" i="5"/>
  <c r="P29" i="5"/>
  <c r="H38" i="7"/>
  <c r="I39" i="7"/>
  <c r="C229" i="4"/>
  <c r="D229" i="4" s="1"/>
  <c r="C231" i="8" l="1"/>
  <c r="D230" i="8"/>
  <c r="O27" i="5"/>
  <c r="P28" i="5"/>
  <c r="H37" i="7"/>
  <c r="I38" i="7"/>
  <c r="C230" i="4"/>
  <c r="D230" i="4" s="1"/>
  <c r="C232" i="8" l="1"/>
  <c r="D231" i="8"/>
  <c r="O26" i="5"/>
  <c r="P27" i="5"/>
  <c r="I37" i="7"/>
  <c r="H36" i="7"/>
  <c r="C231" i="4"/>
  <c r="D231" i="4" s="1"/>
  <c r="C233" i="8" l="1"/>
  <c r="D232" i="8"/>
  <c r="O25" i="5"/>
  <c r="P26" i="5"/>
  <c r="H35" i="7"/>
  <c r="I36" i="7"/>
  <c r="C232" i="4"/>
  <c r="D232" i="4" s="1"/>
  <c r="C234" i="8" l="1"/>
  <c r="D233" i="8"/>
  <c r="O24" i="5"/>
  <c r="P25" i="5"/>
  <c r="I35" i="7"/>
  <c r="H34" i="7"/>
  <c r="C233" i="4"/>
  <c r="D233" i="4" s="1"/>
  <c r="C235" i="8" l="1"/>
  <c r="D234" i="8"/>
  <c r="O23" i="5"/>
  <c r="P24" i="5"/>
  <c r="I34" i="7"/>
  <c r="H33" i="7"/>
  <c r="C234" i="4"/>
  <c r="D234" i="4" s="1"/>
  <c r="C236" i="8" l="1"/>
  <c r="D235" i="8"/>
  <c r="O22" i="5"/>
  <c r="P23" i="5"/>
  <c r="H32" i="7"/>
  <c r="I33" i="7"/>
  <c r="C235" i="4"/>
  <c r="D235" i="4" s="1"/>
  <c r="C237" i="8" l="1"/>
  <c r="D236" i="8"/>
  <c r="O21" i="5"/>
  <c r="P22" i="5"/>
  <c r="I32" i="7"/>
  <c r="H31" i="7"/>
  <c r="C236" i="4"/>
  <c r="D236" i="4" s="1"/>
  <c r="C238" i="8" l="1"/>
  <c r="D237" i="8"/>
  <c r="O20" i="5"/>
  <c r="P21" i="5"/>
  <c r="H30" i="7"/>
  <c r="I31" i="7"/>
  <c r="C237" i="4"/>
  <c r="D237" i="4" s="1"/>
  <c r="C239" i="8" l="1"/>
  <c r="D238" i="8"/>
  <c r="O19" i="5"/>
  <c r="P20" i="5"/>
  <c r="I30" i="7"/>
  <c r="H29" i="7"/>
  <c r="C238" i="4"/>
  <c r="D238" i="4" s="1"/>
  <c r="C240" i="8" l="1"/>
  <c r="D239" i="8"/>
  <c r="O18" i="5"/>
  <c r="P19" i="5"/>
  <c r="I29" i="7"/>
  <c r="H28" i="7"/>
  <c r="C239" i="4"/>
  <c r="D239" i="4" s="1"/>
  <c r="C241" i="8" l="1"/>
  <c r="D240" i="8"/>
  <c r="O17" i="5"/>
  <c r="P18" i="5"/>
  <c r="H27" i="7"/>
  <c r="I28" i="7"/>
  <c r="C240" i="4"/>
  <c r="D240" i="4" s="1"/>
  <c r="C242" i="8" l="1"/>
  <c r="D241" i="8"/>
  <c r="O16" i="5"/>
  <c r="P17" i="5"/>
  <c r="I27" i="7"/>
  <c r="H26" i="7"/>
  <c r="C241" i="4"/>
  <c r="D241" i="4" s="1"/>
  <c r="C243" i="8" l="1"/>
  <c r="D242" i="8"/>
  <c r="O15" i="5"/>
  <c r="P16" i="5"/>
  <c r="I26" i="7"/>
  <c r="H25" i="7"/>
  <c r="C242" i="4"/>
  <c r="D242" i="4" s="1"/>
  <c r="C244" i="8" l="1"/>
  <c r="D243" i="8"/>
  <c r="O14" i="5"/>
  <c r="P15" i="5"/>
  <c r="H24" i="7"/>
  <c r="I25" i="7"/>
  <c r="C243" i="4"/>
  <c r="D243" i="4" s="1"/>
  <c r="C245" i="8" l="1"/>
  <c r="D244" i="8"/>
  <c r="O13" i="5"/>
  <c r="P14" i="5"/>
  <c r="I24" i="7"/>
  <c r="H23" i="7"/>
  <c r="C244" i="4"/>
  <c r="D244" i="4" s="1"/>
  <c r="C246" i="8" l="1"/>
  <c r="D245" i="8"/>
  <c r="O12" i="5"/>
  <c r="P13" i="5"/>
  <c r="H22" i="7"/>
  <c r="I23" i="7"/>
  <c r="C245" i="4"/>
  <c r="D245" i="4" s="1"/>
  <c r="C247" i="8" l="1"/>
  <c r="D246" i="8"/>
  <c r="O11" i="5"/>
  <c r="P12" i="5"/>
  <c r="H21" i="7"/>
  <c r="I22" i="7"/>
  <c r="C246" i="4"/>
  <c r="D246" i="4" s="1"/>
  <c r="C248" i="8" l="1"/>
  <c r="D247" i="8"/>
  <c r="O10" i="5"/>
  <c r="P11" i="5"/>
  <c r="I21" i="7"/>
  <c r="H20" i="7"/>
  <c r="C247" i="4"/>
  <c r="D247" i="4" s="1"/>
  <c r="C249" i="8" l="1"/>
  <c r="D248" i="8"/>
  <c r="O9" i="5"/>
  <c r="P10" i="5"/>
  <c r="H19" i="7"/>
  <c r="I20" i="7"/>
  <c r="C248" i="4"/>
  <c r="D248" i="4" s="1"/>
  <c r="C250" i="8" l="1"/>
  <c r="D249" i="8"/>
  <c r="O8" i="5"/>
  <c r="P9" i="5"/>
  <c r="I19" i="7"/>
  <c r="H18" i="7"/>
  <c r="C249" i="4"/>
  <c r="D249" i="4" s="1"/>
  <c r="C251" i="8" l="1"/>
  <c r="D250" i="8"/>
  <c r="O7" i="5"/>
  <c r="P8" i="5"/>
  <c r="I18" i="7"/>
  <c r="H17" i="7"/>
  <c r="C250" i="4"/>
  <c r="D250" i="4" s="1"/>
  <c r="C252" i="8" l="1"/>
  <c r="D251" i="8"/>
  <c r="O6" i="5"/>
  <c r="P7" i="5"/>
  <c r="I17" i="7"/>
  <c r="H16" i="7"/>
  <c r="C251" i="4"/>
  <c r="D251" i="4" s="1"/>
  <c r="C253" i="8" l="1"/>
  <c r="D252" i="8"/>
  <c r="O5" i="5"/>
  <c r="P6" i="5"/>
  <c r="I16" i="7"/>
  <c r="H15" i="7"/>
  <c r="C252" i="4"/>
  <c r="D252" i="4" s="1"/>
  <c r="C254" i="8" l="1"/>
  <c r="D253" i="8"/>
  <c r="O4" i="5"/>
  <c r="P4" i="5" s="1"/>
  <c r="P5" i="5"/>
  <c r="H14" i="7"/>
  <c r="I15" i="7"/>
  <c r="C253" i="4"/>
  <c r="D253" i="4" s="1"/>
  <c r="C255" i="8" l="1"/>
  <c r="D254" i="8"/>
  <c r="H13" i="7"/>
  <c r="I14" i="7"/>
  <c r="C254" i="4"/>
  <c r="D254" i="4" s="1"/>
  <c r="C256" i="8" l="1"/>
  <c r="D255" i="8"/>
  <c r="Q4" i="5"/>
  <c r="I13" i="7"/>
  <c r="H12" i="7"/>
  <c r="C255" i="4"/>
  <c r="D255" i="4" s="1"/>
  <c r="C257" i="8" l="1"/>
  <c r="D256" i="8"/>
  <c r="Q5" i="5"/>
  <c r="R4" i="5"/>
  <c r="H11" i="7"/>
  <c r="I12" i="7"/>
  <c r="C256" i="4"/>
  <c r="D256" i="4" s="1"/>
  <c r="C258" i="8" l="1"/>
  <c r="D257" i="8"/>
  <c r="Q6" i="5"/>
  <c r="R5" i="5"/>
  <c r="I11" i="7"/>
  <c r="H10" i="7"/>
  <c r="C257" i="4"/>
  <c r="D257" i="4" s="1"/>
  <c r="C259" i="8" l="1"/>
  <c r="D258" i="8"/>
  <c r="Q7" i="5"/>
  <c r="R6" i="5"/>
  <c r="I10" i="7"/>
  <c r="H9" i="7"/>
  <c r="C258" i="4"/>
  <c r="D258" i="4" s="1"/>
  <c r="C260" i="8" l="1"/>
  <c r="D259" i="8"/>
  <c r="Q8" i="5"/>
  <c r="R7" i="5"/>
  <c r="H138" i="7"/>
  <c r="I9" i="7"/>
  <c r="C259" i="4"/>
  <c r="D259" i="4" s="1"/>
  <c r="C261" i="8" l="1"/>
  <c r="D260" i="8"/>
  <c r="Q9" i="5"/>
  <c r="R8" i="5"/>
  <c r="I138" i="7"/>
  <c r="J9" i="7"/>
  <c r="C260" i="4"/>
  <c r="D260" i="4" s="1"/>
  <c r="C262" i="8" l="1"/>
  <c r="D261" i="8"/>
  <c r="Q10" i="5"/>
  <c r="R9" i="5"/>
  <c r="K9" i="7"/>
  <c r="J10" i="7"/>
  <c r="C261" i="4"/>
  <c r="D261" i="4" s="1"/>
  <c r="C263" i="8" l="1"/>
  <c r="D262" i="8"/>
  <c r="Q11" i="5"/>
  <c r="R10" i="5"/>
  <c r="J11" i="7"/>
  <c r="K10" i="7"/>
  <c r="C262" i="4"/>
  <c r="D262" i="4" s="1"/>
  <c r="C264" i="8" l="1"/>
  <c r="D263" i="8"/>
  <c r="Q12" i="5"/>
  <c r="R11" i="5"/>
  <c r="K11" i="7"/>
  <c r="J12" i="7"/>
  <c r="C263" i="4"/>
  <c r="D263" i="4" s="1"/>
  <c r="C265" i="8" l="1"/>
  <c r="D264" i="8"/>
  <c r="Q13" i="5"/>
  <c r="R12" i="5"/>
  <c r="K12" i="7"/>
  <c r="J13" i="7"/>
  <c r="C264" i="4"/>
  <c r="D264" i="4" s="1"/>
  <c r="C266" i="8" l="1"/>
  <c r="D265" i="8"/>
  <c r="Q14" i="5"/>
  <c r="R13" i="5"/>
  <c r="K13" i="7"/>
  <c r="J14" i="7"/>
  <c r="C265" i="4"/>
  <c r="D265" i="4" s="1"/>
  <c r="C267" i="8" l="1"/>
  <c r="D266" i="8"/>
  <c r="Q15" i="5"/>
  <c r="R14" i="5"/>
  <c r="J15" i="7"/>
  <c r="K14" i="7"/>
  <c r="C266" i="4"/>
  <c r="D266" i="4" s="1"/>
  <c r="C268" i="8" l="1"/>
  <c r="D267" i="8"/>
  <c r="Q16" i="5"/>
  <c r="R15" i="5"/>
  <c r="J16" i="7"/>
  <c r="K15" i="7"/>
  <c r="C267" i="4"/>
  <c r="D267" i="4" s="1"/>
  <c r="C269" i="8" l="1"/>
  <c r="D268" i="8"/>
  <c r="Q17" i="5"/>
  <c r="R16" i="5"/>
  <c r="K16" i="7"/>
  <c r="J17" i="7"/>
  <c r="C268" i="4"/>
  <c r="D268" i="4" s="1"/>
  <c r="C270" i="8" l="1"/>
  <c r="D269" i="8"/>
  <c r="Q18" i="5"/>
  <c r="R17" i="5"/>
  <c r="J18" i="7"/>
  <c r="K17" i="7"/>
  <c r="C269" i="4"/>
  <c r="D269" i="4" s="1"/>
  <c r="C271" i="8" l="1"/>
  <c r="D270" i="8"/>
  <c r="Q19" i="5"/>
  <c r="R18" i="5"/>
  <c r="J19" i="7"/>
  <c r="K18" i="7"/>
  <c r="C270" i="4"/>
  <c r="D270" i="4" s="1"/>
  <c r="C272" i="8" l="1"/>
  <c r="D271" i="8"/>
  <c r="Q20" i="5"/>
  <c r="R19" i="5"/>
  <c r="K19" i="7"/>
  <c r="J20" i="7"/>
  <c r="C271" i="4"/>
  <c r="D271" i="4" s="1"/>
  <c r="C273" i="8" l="1"/>
  <c r="D272" i="8"/>
  <c r="Q21" i="5"/>
  <c r="R20" i="5"/>
  <c r="K20" i="7"/>
  <c r="J21" i="7"/>
  <c r="C272" i="4"/>
  <c r="D272" i="4" s="1"/>
  <c r="C274" i="8" l="1"/>
  <c r="D273" i="8"/>
  <c r="Q22" i="5"/>
  <c r="R21" i="5"/>
  <c r="K21" i="7"/>
  <c r="J22" i="7"/>
  <c r="C273" i="4"/>
  <c r="D273" i="4" s="1"/>
  <c r="C275" i="8" l="1"/>
  <c r="D274" i="8"/>
  <c r="Q23" i="5"/>
  <c r="R22" i="5"/>
  <c r="J23" i="7"/>
  <c r="K22" i="7"/>
  <c r="C274" i="4"/>
  <c r="D274" i="4" s="1"/>
  <c r="C276" i="8" l="1"/>
  <c r="D275" i="8"/>
  <c r="Q24" i="5"/>
  <c r="R23" i="5"/>
  <c r="J24" i="7"/>
  <c r="K23" i="7"/>
  <c r="C275" i="4"/>
  <c r="D275" i="4" s="1"/>
  <c r="C277" i="8" l="1"/>
  <c r="D276" i="8"/>
  <c r="Q25" i="5"/>
  <c r="R24" i="5"/>
  <c r="K24" i="7"/>
  <c r="J25" i="7"/>
  <c r="C276" i="4"/>
  <c r="D276" i="4" s="1"/>
  <c r="C278" i="8" l="1"/>
  <c r="D277" i="8"/>
  <c r="Q26" i="5"/>
  <c r="R25" i="5"/>
  <c r="J26" i="7"/>
  <c r="K25" i="7"/>
  <c r="C277" i="4"/>
  <c r="D277" i="4" s="1"/>
  <c r="C279" i="8" l="1"/>
  <c r="D278" i="8"/>
  <c r="Q27" i="5"/>
  <c r="R26" i="5"/>
  <c r="J27" i="7"/>
  <c r="K26" i="7"/>
  <c r="C278" i="4"/>
  <c r="D278" i="4" s="1"/>
  <c r="C280" i="8" l="1"/>
  <c r="D279" i="8"/>
  <c r="Q28" i="5"/>
  <c r="R27" i="5"/>
  <c r="K27" i="7"/>
  <c r="J28" i="7"/>
  <c r="C279" i="4"/>
  <c r="D279" i="4" s="1"/>
  <c r="C281" i="8" l="1"/>
  <c r="D280" i="8"/>
  <c r="Q29" i="5"/>
  <c r="R28" i="5"/>
  <c r="J29" i="7"/>
  <c r="K28" i="7"/>
  <c r="C280" i="4"/>
  <c r="D280" i="4" s="1"/>
  <c r="C282" i="8" l="1"/>
  <c r="D281" i="8"/>
  <c r="Q30" i="5"/>
  <c r="R29" i="5"/>
  <c r="K29" i="7"/>
  <c r="J30" i="7"/>
  <c r="C281" i="4"/>
  <c r="D281" i="4" s="1"/>
  <c r="C283" i="8" l="1"/>
  <c r="D282" i="8"/>
  <c r="Q31" i="5"/>
  <c r="R30" i="5"/>
  <c r="J31" i="7"/>
  <c r="K30" i="7"/>
  <c r="C282" i="4"/>
  <c r="D282" i="4" s="1"/>
  <c r="C284" i="8" l="1"/>
  <c r="D283" i="8"/>
  <c r="Q32" i="5"/>
  <c r="R31" i="5"/>
  <c r="J32" i="7"/>
  <c r="K31" i="7"/>
  <c r="C283" i="4"/>
  <c r="D283" i="4" s="1"/>
  <c r="C285" i="8" l="1"/>
  <c r="D284" i="8"/>
  <c r="Q33" i="5"/>
  <c r="R32" i="5"/>
  <c r="K32" i="7"/>
  <c r="J33" i="7"/>
  <c r="C284" i="4"/>
  <c r="D284" i="4" s="1"/>
  <c r="C286" i="8" l="1"/>
  <c r="D285" i="8"/>
  <c r="Q34" i="5"/>
  <c r="R33" i="5"/>
  <c r="J34" i="7"/>
  <c r="K33" i="7"/>
  <c r="C285" i="4"/>
  <c r="D285" i="4" s="1"/>
  <c r="C287" i="8" l="1"/>
  <c r="D286" i="8"/>
  <c r="Q35" i="5"/>
  <c r="R34" i="5"/>
  <c r="J35" i="7"/>
  <c r="K34" i="7"/>
  <c r="C286" i="4"/>
  <c r="D286" i="4" s="1"/>
  <c r="C288" i="8" l="1"/>
  <c r="D287" i="8"/>
  <c r="Q36" i="5"/>
  <c r="R35" i="5"/>
  <c r="J36" i="7"/>
  <c r="K35" i="7"/>
  <c r="C287" i="4"/>
  <c r="D287" i="4" s="1"/>
  <c r="C289" i="8" l="1"/>
  <c r="D288" i="8"/>
  <c r="Q37" i="5"/>
  <c r="R36" i="5"/>
  <c r="J37" i="7"/>
  <c r="K36" i="7"/>
  <c r="C288" i="4"/>
  <c r="D288" i="4" s="1"/>
  <c r="C290" i="8" l="1"/>
  <c r="D289" i="8"/>
  <c r="Q38" i="5"/>
  <c r="R37" i="5"/>
  <c r="K37" i="7"/>
  <c r="J38" i="7"/>
  <c r="C289" i="4"/>
  <c r="D289" i="4" s="1"/>
  <c r="C291" i="8" l="1"/>
  <c r="D290" i="8"/>
  <c r="Q39" i="5"/>
  <c r="R38" i="5"/>
  <c r="J39" i="7"/>
  <c r="K38" i="7"/>
  <c r="C290" i="4"/>
  <c r="D290" i="4" s="1"/>
  <c r="C292" i="8" l="1"/>
  <c r="D291" i="8"/>
  <c r="Q40" i="5"/>
  <c r="R39" i="5"/>
  <c r="J40" i="7"/>
  <c r="K39" i="7"/>
  <c r="C291" i="4"/>
  <c r="D291" i="4" s="1"/>
  <c r="C293" i="8" l="1"/>
  <c r="D292" i="8"/>
  <c r="Q41" i="5"/>
  <c r="R40" i="5"/>
  <c r="K40" i="7"/>
  <c r="J41" i="7"/>
  <c r="C292" i="4"/>
  <c r="D292" i="4" s="1"/>
  <c r="C294" i="8" l="1"/>
  <c r="D293" i="8"/>
  <c r="Q42" i="5"/>
  <c r="R41" i="5"/>
  <c r="J42" i="7"/>
  <c r="K41" i="7"/>
  <c r="C293" i="4"/>
  <c r="D293" i="4" s="1"/>
  <c r="C295" i="8" l="1"/>
  <c r="D294" i="8"/>
  <c r="Q43" i="5"/>
  <c r="R42" i="5"/>
  <c r="J43" i="7"/>
  <c r="K42" i="7"/>
  <c r="C294" i="4"/>
  <c r="D294" i="4" s="1"/>
  <c r="C296" i="8" l="1"/>
  <c r="D295" i="8"/>
  <c r="Q44" i="5"/>
  <c r="R43" i="5"/>
  <c r="K43" i="7"/>
  <c r="J44" i="7"/>
  <c r="C295" i="4"/>
  <c r="D295" i="4" s="1"/>
  <c r="C297" i="8" l="1"/>
  <c r="D296" i="8"/>
  <c r="Q45" i="5"/>
  <c r="R44" i="5"/>
  <c r="J45" i="7"/>
  <c r="K44" i="7"/>
  <c r="C296" i="4"/>
  <c r="D296" i="4" s="1"/>
  <c r="C298" i="8" l="1"/>
  <c r="D297" i="8"/>
  <c r="Q46" i="5"/>
  <c r="R45" i="5"/>
  <c r="K45" i="7"/>
  <c r="J46" i="7"/>
  <c r="C297" i="4"/>
  <c r="D297" i="4" s="1"/>
  <c r="C299" i="8" l="1"/>
  <c r="D298" i="8"/>
  <c r="Q47" i="5"/>
  <c r="R46" i="5"/>
  <c r="J47" i="7"/>
  <c r="K46" i="7"/>
  <c r="C298" i="4"/>
  <c r="D298" i="4" s="1"/>
  <c r="C300" i="8" l="1"/>
  <c r="D299" i="8"/>
  <c r="Q48" i="5"/>
  <c r="R47" i="5"/>
  <c r="J48" i="7"/>
  <c r="K47" i="7"/>
  <c r="C299" i="4"/>
  <c r="D299" i="4" s="1"/>
  <c r="C301" i="8" l="1"/>
  <c r="D300" i="8"/>
  <c r="Q49" i="5"/>
  <c r="R48" i="5"/>
  <c r="K48" i="7"/>
  <c r="J49" i="7"/>
  <c r="C300" i="4"/>
  <c r="D300" i="4" s="1"/>
  <c r="C302" i="8" l="1"/>
  <c r="D301" i="8"/>
  <c r="Q50" i="5"/>
  <c r="R49" i="5"/>
  <c r="J50" i="7"/>
  <c r="K49" i="7"/>
  <c r="C301" i="4"/>
  <c r="D301" i="4" s="1"/>
  <c r="C303" i="8" l="1"/>
  <c r="D302" i="8"/>
  <c r="Q51" i="5"/>
  <c r="R50" i="5"/>
  <c r="J51" i="7"/>
  <c r="K50" i="7"/>
  <c r="C302" i="4"/>
  <c r="D302" i="4" s="1"/>
  <c r="C304" i="8" l="1"/>
  <c r="D303" i="8"/>
  <c r="Q52" i="5"/>
  <c r="R51" i="5"/>
  <c r="J52" i="7"/>
  <c r="K51" i="7"/>
  <c r="C303" i="4"/>
  <c r="D303" i="4" s="1"/>
  <c r="C305" i="8" l="1"/>
  <c r="D304" i="8"/>
  <c r="Q53" i="5"/>
  <c r="R52" i="5"/>
  <c r="J53" i="7"/>
  <c r="K52" i="7"/>
  <c r="C304" i="4"/>
  <c r="D304" i="4" s="1"/>
  <c r="C306" i="8" l="1"/>
  <c r="D305" i="8"/>
  <c r="Q54" i="5"/>
  <c r="R53" i="5"/>
  <c r="K53" i="7"/>
  <c r="J54" i="7"/>
  <c r="C305" i="4"/>
  <c r="D305" i="4" s="1"/>
  <c r="C307" i="8" l="1"/>
  <c r="D306" i="8"/>
  <c r="Q55" i="5"/>
  <c r="R54" i="5"/>
  <c r="J55" i="7"/>
  <c r="K54" i="7"/>
  <c r="C306" i="4"/>
  <c r="D306" i="4" s="1"/>
  <c r="C308" i="8" l="1"/>
  <c r="D307" i="8"/>
  <c r="Q56" i="5"/>
  <c r="R55" i="5"/>
  <c r="J56" i="7"/>
  <c r="K55" i="7"/>
  <c r="C307" i="4"/>
  <c r="D307" i="4" s="1"/>
  <c r="C309" i="8" l="1"/>
  <c r="D308" i="8"/>
  <c r="Q57" i="5"/>
  <c r="R56" i="5"/>
  <c r="K56" i="7"/>
  <c r="J57" i="7"/>
  <c r="C308" i="4"/>
  <c r="D308" i="4" s="1"/>
  <c r="C310" i="8" l="1"/>
  <c r="D309" i="8"/>
  <c r="Q58" i="5"/>
  <c r="R57" i="5"/>
  <c r="J58" i="7"/>
  <c r="K57" i="7"/>
  <c r="C309" i="4"/>
  <c r="D309" i="4" s="1"/>
  <c r="C311" i="8" l="1"/>
  <c r="D310" i="8"/>
  <c r="Q59" i="5"/>
  <c r="R58" i="5"/>
  <c r="J59" i="7"/>
  <c r="K58" i="7"/>
  <c r="C310" i="4"/>
  <c r="D310" i="4" s="1"/>
  <c r="C312" i="8" l="1"/>
  <c r="D311" i="8"/>
  <c r="Q60" i="5"/>
  <c r="R59" i="5"/>
  <c r="J60" i="7"/>
  <c r="K59" i="7"/>
  <c r="C311" i="4"/>
  <c r="D311" i="4" s="1"/>
  <c r="C313" i="8" l="1"/>
  <c r="D312" i="8"/>
  <c r="Q61" i="5"/>
  <c r="R60" i="5"/>
  <c r="J61" i="7"/>
  <c r="K60" i="7"/>
  <c r="C312" i="4"/>
  <c r="D312" i="4" s="1"/>
  <c r="C314" i="8" l="1"/>
  <c r="D313" i="8"/>
  <c r="Q62" i="5"/>
  <c r="R61" i="5"/>
  <c r="K61" i="7"/>
  <c r="J62" i="7"/>
  <c r="C313" i="4"/>
  <c r="D313" i="4" s="1"/>
  <c r="C315" i="8" l="1"/>
  <c r="D314" i="8"/>
  <c r="Q63" i="5"/>
  <c r="R62" i="5"/>
  <c r="J63" i="7"/>
  <c r="K62" i="7"/>
  <c r="C314" i="4"/>
  <c r="D314" i="4" s="1"/>
  <c r="C316" i="8" l="1"/>
  <c r="D315" i="8"/>
  <c r="Q64" i="5"/>
  <c r="R63" i="5"/>
  <c r="J64" i="7"/>
  <c r="K63" i="7"/>
  <c r="C315" i="4"/>
  <c r="D315" i="4" s="1"/>
  <c r="C317" i="8" l="1"/>
  <c r="D316" i="8"/>
  <c r="Q65" i="5"/>
  <c r="R64" i="5"/>
  <c r="K64" i="7"/>
  <c r="J65" i="7"/>
  <c r="C316" i="4"/>
  <c r="D316" i="4" s="1"/>
  <c r="C318" i="8" l="1"/>
  <c r="D317" i="8"/>
  <c r="Q66" i="5"/>
  <c r="R65" i="5"/>
  <c r="J66" i="7"/>
  <c r="K65" i="7"/>
  <c r="C317" i="4"/>
  <c r="D317" i="4" s="1"/>
  <c r="C319" i="8" l="1"/>
  <c r="D318" i="8"/>
  <c r="Q67" i="5"/>
  <c r="R66" i="5"/>
  <c r="J67" i="7"/>
  <c r="K66" i="7"/>
  <c r="C318" i="4"/>
  <c r="D318" i="4" s="1"/>
  <c r="C320" i="8" l="1"/>
  <c r="D319" i="8"/>
  <c r="Q68" i="5"/>
  <c r="R67" i="5"/>
  <c r="K67" i="7"/>
  <c r="J68" i="7"/>
  <c r="C319" i="4"/>
  <c r="D319" i="4" s="1"/>
  <c r="C321" i="8" l="1"/>
  <c r="D320" i="8"/>
  <c r="Q69" i="5"/>
  <c r="R68" i="5"/>
  <c r="J69" i="7"/>
  <c r="K68" i="7"/>
  <c r="C320" i="4"/>
  <c r="D320" i="4" s="1"/>
  <c r="C322" i="8" l="1"/>
  <c r="D321" i="8"/>
  <c r="Q70" i="5"/>
  <c r="R69" i="5"/>
  <c r="K69" i="7"/>
  <c r="J70" i="7"/>
  <c r="C321" i="4"/>
  <c r="D321" i="4" s="1"/>
  <c r="C323" i="8" l="1"/>
  <c r="D322" i="8"/>
  <c r="Q71" i="5"/>
  <c r="R70" i="5"/>
  <c r="J71" i="7"/>
  <c r="K70" i="7"/>
  <c r="C322" i="4"/>
  <c r="D322" i="4" s="1"/>
  <c r="C324" i="8" l="1"/>
  <c r="D323" i="8"/>
  <c r="Q72" i="5"/>
  <c r="R71" i="5"/>
  <c r="J72" i="7"/>
  <c r="K71" i="7"/>
  <c r="C323" i="4"/>
  <c r="D323" i="4" s="1"/>
  <c r="C325" i="8" l="1"/>
  <c r="D324" i="8"/>
  <c r="Q73" i="5"/>
  <c r="R72" i="5"/>
  <c r="K72" i="7"/>
  <c r="J73" i="7"/>
  <c r="C324" i="4"/>
  <c r="D324" i="4" s="1"/>
  <c r="C326" i="8" l="1"/>
  <c r="D325" i="8"/>
  <c r="Q74" i="5"/>
  <c r="R73" i="5"/>
  <c r="J74" i="7"/>
  <c r="K73" i="7"/>
  <c r="C325" i="4"/>
  <c r="D325" i="4" s="1"/>
  <c r="C327" i="8" l="1"/>
  <c r="D326" i="8"/>
  <c r="Q75" i="5"/>
  <c r="R74" i="5"/>
  <c r="J75" i="7"/>
  <c r="K74" i="7"/>
  <c r="C326" i="4"/>
  <c r="D326" i="4" s="1"/>
  <c r="C328" i="8" l="1"/>
  <c r="D327" i="8"/>
  <c r="Q76" i="5"/>
  <c r="R75" i="5"/>
  <c r="J76" i="7"/>
  <c r="K75" i="7"/>
  <c r="C327" i="4"/>
  <c r="D327" i="4" s="1"/>
  <c r="C329" i="8" l="1"/>
  <c r="D328" i="8"/>
  <c r="Q77" i="5"/>
  <c r="R76" i="5"/>
  <c r="J77" i="7"/>
  <c r="K76" i="7"/>
  <c r="C328" i="4"/>
  <c r="D328" i="4" s="1"/>
  <c r="C330" i="8" l="1"/>
  <c r="D329" i="8"/>
  <c r="Q78" i="5"/>
  <c r="R77" i="5"/>
  <c r="K77" i="7"/>
  <c r="J78" i="7"/>
  <c r="C329" i="4"/>
  <c r="D329" i="4" s="1"/>
  <c r="C331" i="8" l="1"/>
  <c r="D330" i="8"/>
  <c r="Q79" i="5"/>
  <c r="R78" i="5"/>
  <c r="J79" i="7"/>
  <c r="K78" i="7"/>
  <c r="C330" i="4"/>
  <c r="D330" i="4" s="1"/>
  <c r="C332" i="8" l="1"/>
  <c r="D331" i="8"/>
  <c r="Q80" i="5"/>
  <c r="R79" i="5"/>
  <c r="J80" i="7"/>
  <c r="K79" i="7"/>
  <c r="C331" i="4"/>
  <c r="D331" i="4" s="1"/>
  <c r="C333" i="8" l="1"/>
  <c r="D332" i="8"/>
  <c r="Q81" i="5"/>
  <c r="R80" i="5"/>
  <c r="K80" i="7"/>
  <c r="J81" i="7"/>
  <c r="C332" i="4"/>
  <c r="D332" i="4" s="1"/>
  <c r="C334" i="8" l="1"/>
  <c r="D333" i="8"/>
  <c r="Q82" i="5"/>
  <c r="R81" i="5"/>
  <c r="J82" i="7"/>
  <c r="K81" i="7"/>
  <c r="C333" i="4"/>
  <c r="D333" i="4" s="1"/>
  <c r="C335" i="8" l="1"/>
  <c r="D334" i="8"/>
  <c r="Q83" i="5"/>
  <c r="R82" i="5"/>
  <c r="J83" i="7"/>
  <c r="K82" i="7"/>
  <c r="C334" i="4"/>
  <c r="D334" i="4" s="1"/>
  <c r="C336" i="8" l="1"/>
  <c r="D335" i="8"/>
  <c r="Q84" i="5"/>
  <c r="R83" i="5"/>
  <c r="K83" i="7"/>
  <c r="J84" i="7"/>
  <c r="C335" i="4"/>
  <c r="D335" i="4" s="1"/>
  <c r="C337" i="8" l="1"/>
  <c r="D336" i="8"/>
  <c r="Q85" i="5"/>
  <c r="R84" i="5"/>
  <c r="J85" i="7"/>
  <c r="K84" i="7"/>
  <c r="C336" i="4"/>
  <c r="D336" i="4" s="1"/>
  <c r="C338" i="8" l="1"/>
  <c r="D337" i="8"/>
  <c r="Q86" i="5"/>
  <c r="R85" i="5"/>
  <c r="K85" i="7"/>
  <c r="J86" i="7"/>
  <c r="C337" i="4"/>
  <c r="D337" i="4" s="1"/>
  <c r="C339" i="8" l="1"/>
  <c r="D338" i="8"/>
  <c r="Q87" i="5"/>
  <c r="R86" i="5"/>
  <c r="J87" i="7"/>
  <c r="K86" i="7"/>
  <c r="C338" i="4"/>
  <c r="D338" i="4" s="1"/>
  <c r="C340" i="8" l="1"/>
  <c r="D339" i="8"/>
  <c r="Q88" i="5"/>
  <c r="R87" i="5"/>
  <c r="J88" i="7"/>
  <c r="K87" i="7"/>
  <c r="C339" i="4"/>
  <c r="D339" i="4" s="1"/>
  <c r="C341" i="8" l="1"/>
  <c r="D340" i="8"/>
  <c r="Q89" i="5"/>
  <c r="R88" i="5"/>
  <c r="K88" i="7"/>
  <c r="J89" i="7"/>
  <c r="C340" i="4"/>
  <c r="D340" i="4" s="1"/>
  <c r="C342" i="8" l="1"/>
  <c r="D341" i="8"/>
  <c r="Q90" i="5"/>
  <c r="R89" i="5"/>
  <c r="K89" i="7"/>
  <c r="J90" i="7"/>
  <c r="C341" i="4"/>
  <c r="D341" i="4" s="1"/>
  <c r="C343" i="8" l="1"/>
  <c r="D342" i="8"/>
  <c r="Q91" i="5"/>
  <c r="R90" i="5"/>
  <c r="J91" i="7"/>
  <c r="K90" i="7"/>
  <c r="C342" i="4"/>
  <c r="D342" i="4" s="1"/>
  <c r="C344" i="8" l="1"/>
  <c r="D343" i="8"/>
  <c r="Q92" i="5"/>
  <c r="R91" i="5"/>
  <c r="K91" i="7"/>
  <c r="J92" i="7"/>
  <c r="C343" i="4"/>
  <c r="D343" i="4" s="1"/>
  <c r="C345" i="8" l="1"/>
  <c r="D344" i="8"/>
  <c r="Q93" i="5"/>
  <c r="R92" i="5"/>
  <c r="J93" i="7"/>
  <c r="K92" i="7"/>
  <c r="C344" i="4"/>
  <c r="D344" i="4" s="1"/>
  <c r="C346" i="8" l="1"/>
  <c r="D345" i="8"/>
  <c r="Q94" i="5"/>
  <c r="R93" i="5"/>
  <c r="K93" i="7"/>
  <c r="J94" i="7"/>
  <c r="C345" i="4"/>
  <c r="D345" i="4" s="1"/>
  <c r="C347" i="8" l="1"/>
  <c r="D346" i="8"/>
  <c r="Q95" i="5"/>
  <c r="R94" i="5"/>
  <c r="J95" i="7"/>
  <c r="K94" i="7"/>
  <c r="C346" i="4"/>
  <c r="D346" i="4" s="1"/>
  <c r="C348" i="8" l="1"/>
  <c r="D347" i="8"/>
  <c r="Q96" i="5"/>
  <c r="R95" i="5"/>
  <c r="J96" i="7"/>
  <c r="K95" i="7"/>
  <c r="C347" i="4"/>
  <c r="D347" i="4" s="1"/>
  <c r="C349" i="8" l="1"/>
  <c r="D348" i="8"/>
  <c r="Q97" i="5"/>
  <c r="R96" i="5"/>
  <c r="K96" i="7"/>
  <c r="J97" i="7"/>
  <c r="C348" i="4"/>
  <c r="D348" i="4" s="1"/>
  <c r="C350" i="8" l="1"/>
  <c r="D349" i="8"/>
  <c r="Q98" i="5"/>
  <c r="R97" i="5"/>
  <c r="J98" i="7"/>
  <c r="K97" i="7"/>
  <c r="C349" i="4"/>
  <c r="D349" i="4" s="1"/>
  <c r="C351" i="8" l="1"/>
  <c r="D350" i="8"/>
  <c r="Q99" i="5"/>
  <c r="R98" i="5"/>
  <c r="J99" i="7"/>
  <c r="K98" i="7"/>
  <c r="C350" i="4"/>
  <c r="D350" i="4" s="1"/>
  <c r="C352" i="8" l="1"/>
  <c r="D351" i="8"/>
  <c r="Q100" i="5"/>
  <c r="R99" i="5"/>
  <c r="J100" i="7"/>
  <c r="K99" i="7"/>
  <c r="C351" i="4"/>
  <c r="D351" i="4" s="1"/>
  <c r="C353" i="8" l="1"/>
  <c r="D352" i="8"/>
  <c r="Q101" i="5"/>
  <c r="R100" i="5"/>
  <c r="J101" i="7"/>
  <c r="K100" i="7"/>
  <c r="C352" i="4"/>
  <c r="D352" i="4" s="1"/>
  <c r="C354" i="8" l="1"/>
  <c r="D353" i="8"/>
  <c r="Q102" i="5"/>
  <c r="R101" i="5"/>
  <c r="K101" i="7"/>
  <c r="J102" i="7"/>
  <c r="C353" i="4"/>
  <c r="D353" i="4" s="1"/>
  <c r="C355" i="8" l="1"/>
  <c r="D354" i="8"/>
  <c r="Q103" i="5"/>
  <c r="R102" i="5"/>
  <c r="J103" i="7"/>
  <c r="K102" i="7"/>
  <c r="C354" i="4"/>
  <c r="D354" i="4" s="1"/>
  <c r="C356" i="8" l="1"/>
  <c r="D355" i="8"/>
  <c r="Q104" i="5"/>
  <c r="R103" i="5"/>
  <c r="J104" i="7"/>
  <c r="K103" i="7"/>
  <c r="C355" i="4"/>
  <c r="D355" i="4" s="1"/>
  <c r="C357" i="8" l="1"/>
  <c r="D356" i="8"/>
  <c r="Q105" i="5"/>
  <c r="R104" i="5"/>
  <c r="K104" i="7"/>
  <c r="J105" i="7"/>
  <c r="C356" i="4"/>
  <c r="D356" i="4" s="1"/>
  <c r="C358" i="8" l="1"/>
  <c r="D357" i="8"/>
  <c r="Q106" i="5"/>
  <c r="R105" i="5"/>
  <c r="J106" i="7"/>
  <c r="K105" i="7"/>
  <c r="L7" i="7" s="1"/>
  <c r="N7" i="7" s="1"/>
  <c r="C357" i="4"/>
  <c r="D357" i="4" s="1"/>
  <c r="C359" i="8" l="1"/>
  <c r="D358" i="8"/>
  <c r="Q107" i="5"/>
  <c r="R106" i="5"/>
  <c r="J107" i="7"/>
  <c r="K106" i="7"/>
  <c r="C358" i="4"/>
  <c r="D358" i="4" s="1"/>
  <c r="C360" i="8" l="1"/>
  <c r="D359" i="8"/>
  <c r="Q108" i="5"/>
  <c r="R107" i="5"/>
  <c r="J108" i="7"/>
  <c r="K107" i="7"/>
  <c r="C359" i="4"/>
  <c r="D359" i="4" s="1"/>
  <c r="C361" i="8" l="1"/>
  <c r="D360" i="8"/>
  <c r="Q109" i="5"/>
  <c r="R108" i="5"/>
  <c r="J109" i="7"/>
  <c r="K108" i="7"/>
  <c r="C360" i="4"/>
  <c r="D360" i="4" s="1"/>
  <c r="C362" i="8" l="1"/>
  <c r="D361" i="8"/>
  <c r="Q110" i="5"/>
  <c r="R109" i="5"/>
  <c r="K109" i="7"/>
  <c r="J110" i="7"/>
  <c r="C361" i="4"/>
  <c r="D361" i="4" s="1"/>
  <c r="C363" i="8" l="1"/>
  <c r="D362" i="8"/>
  <c r="Q111" i="5"/>
  <c r="R110" i="5"/>
  <c r="J111" i="7"/>
  <c r="K110" i="7"/>
  <c r="C362" i="4"/>
  <c r="D362" i="4" s="1"/>
  <c r="C364" i="8" l="1"/>
  <c r="D363" i="8"/>
  <c r="Q112" i="5"/>
  <c r="R111" i="5"/>
  <c r="J112" i="7"/>
  <c r="K111" i="7"/>
  <c r="C363" i="4"/>
  <c r="D363" i="4" s="1"/>
  <c r="C365" i="8" l="1"/>
  <c r="D364" i="8"/>
  <c r="Q113" i="5"/>
  <c r="R112" i="5"/>
  <c r="K112" i="7"/>
  <c r="J113" i="7"/>
  <c r="C364" i="4"/>
  <c r="D364" i="4" s="1"/>
  <c r="C366" i="8" l="1"/>
  <c r="D365" i="8"/>
  <c r="Q114" i="5"/>
  <c r="R113" i="5"/>
  <c r="J114" i="7"/>
  <c r="K113" i="7"/>
  <c r="C365" i="4"/>
  <c r="D365" i="4" s="1"/>
  <c r="C367" i="8" l="1"/>
  <c r="D366" i="8"/>
  <c r="Q115" i="5"/>
  <c r="R114" i="5"/>
  <c r="J115" i="7"/>
  <c r="K114" i="7"/>
  <c r="C366" i="4"/>
  <c r="D366" i="4" s="1"/>
  <c r="C368" i="8" l="1"/>
  <c r="D367" i="8"/>
  <c r="Q116" i="5"/>
  <c r="R115" i="5"/>
  <c r="J116" i="7"/>
  <c r="K115" i="7"/>
  <c r="C367" i="4"/>
  <c r="D367" i="4" s="1"/>
  <c r="C369" i="8" l="1"/>
  <c r="D368" i="8"/>
  <c r="Q117" i="5"/>
  <c r="R116" i="5"/>
  <c r="J117" i="7"/>
  <c r="K116" i="7"/>
  <c r="C368" i="4"/>
  <c r="D368" i="4" s="1"/>
  <c r="C370" i="8" l="1"/>
  <c r="D369" i="8"/>
  <c r="Q118" i="5"/>
  <c r="R117" i="5"/>
  <c r="K117" i="7"/>
  <c r="J118" i="7"/>
  <c r="C369" i="4"/>
  <c r="D369" i="4" s="1"/>
  <c r="C371" i="8" l="1"/>
  <c r="D370" i="8"/>
  <c r="Q119" i="5"/>
  <c r="R118" i="5"/>
  <c r="J119" i="7"/>
  <c r="K118" i="7"/>
  <c r="C370" i="4"/>
  <c r="D370" i="4" s="1"/>
  <c r="C372" i="8" l="1"/>
  <c r="D371" i="8"/>
  <c r="Q120" i="5"/>
  <c r="R119" i="5"/>
  <c r="J120" i="7"/>
  <c r="K119" i="7"/>
  <c r="C371" i="4"/>
  <c r="D371" i="4" s="1"/>
  <c r="C373" i="8" l="1"/>
  <c r="D372" i="8"/>
  <c r="Q121" i="5"/>
  <c r="R120" i="5"/>
  <c r="K120" i="7"/>
  <c r="J121" i="7"/>
  <c r="C372" i="4"/>
  <c r="D372" i="4" s="1"/>
  <c r="C374" i="8" l="1"/>
  <c r="D373" i="8"/>
  <c r="Q122" i="5"/>
  <c r="R121" i="5"/>
  <c r="J122" i="7"/>
  <c r="K121" i="7"/>
  <c r="C373" i="4"/>
  <c r="D373" i="4" s="1"/>
  <c r="C375" i="8" l="1"/>
  <c r="D374" i="8"/>
  <c r="Q123" i="5"/>
  <c r="R122" i="5"/>
  <c r="J123" i="7"/>
  <c r="K122" i="7"/>
  <c r="C374" i="4"/>
  <c r="D374" i="4" s="1"/>
  <c r="C376" i="8" l="1"/>
  <c r="D375" i="8"/>
  <c r="Q124" i="5"/>
  <c r="R123" i="5"/>
  <c r="K123" i="7"/>
  <c r="J124" i="7"/>
  <c r="C375" i="4"/>
  <c r="D375" i="4" s="1"/>
  <c r="C377" i="8" l="1"/>
  <c r="D376" i="8"/>
  <c r="Q125" i="5"/>
  <c r="R124" i="5"/>
  <c r="J125" i="7"/>
  <c r="K124" i="7"/>
  <c r="C376" i="4"/>
  <c r="D376" i="4" s="1"/>
  <c r="C378" i="8" l="1"/>
  <c r="D377" i="8"/>
  <c r="Q126" i="5"/>
  <c r="R125" i="5"/>
  <c r="K125" i="7"/>
  <c r="J126" i="7"/>
  <c r="C377" i="4"/>
  <c r="D377" i="4" s="1"/>
  <c r="C379" i="8" l="1"/>
  <c r="D378" i="8"/>
  <c r="Q127" i="5"/>
  <c r="R126" i="5"/>
  <c r="J127" i="7"/>
  <c r="K126" i="7"/>
  <c r="C378" i="4"/>
  <c r="D378" i="4" s="1"/>
  <c r="C380" i="8" l="1"/>
  <c r="D379" i="8"/>
  <c r="Q128" i="5"/>
  <c r="R127" i="5"/>
  <c r="J128" i="7"/>
  <c r="K127" i="7"/>
  <c r="C379" i="4"/>
  <c r="D379" i="4" s="1"/>
  <c r="C381" i="8" l="1"/>
  <c r="D380" i="8"/>
  <c r="Q129" i="5"/>
  <c r="R128" i="5"/>
  <c r="K128" i="7"/>
  <c r="J129" i="7"/>
  <c r="C380" i="4"/>
  <c r="D380" i="4" s="1"/>
  <c r="C382" i="8" l="1"/>
  <c r="D381" i="8"/>
  <c r="Q130" i="5"/>
  <c r="R130" i="5" s="1"/>
  <c r="R129" i="5"/>
  <c r="J130" i="7"/>
  <c r="K129" i="7"/>
  <c r="C381" i="4"/>
  <c r="D381" i="4" s="1"/>
  <c r="C383" i="8" l="1"/>
  <c r="D382" i="8"/>
  <c r="J131" i="7"/>
  <c r="K130" i="7"/>
  <c r="C382" i="4"/>
  <c r="D382" i="4" s="1"/>
  <c r="C384" i="8" l="1"/>
  <c r="D383" i="8"/>
  <c r="J132" i="7"/>
  <c r="K131" i="7"/>
  <c r="C383" i="4"/>
  <c r="D383" i="4" s="1"/>
  <c r="C385" i="8" l="1"/>
  <c r="D384" i="8"/>
  <c r="J133" i="7"/>
  <c r="K132" i="7"/>
  <c r="C384" i="4"/>
  <c r="D384" i="4" s="1"/>
  <c r="C386" i="8" l="1"/>
  <c r="D385" i="8"/>
  <c r="K133" i="7"/>
  <c r="J134" i="7"/>
  <c r="C385" i="4"/>
  <c r="D385" i="4" s="1"/>
  <c r="C4" i="5"/>
  <c r="C5" i="5" s="1"/>
  <c r="A34" i="4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C387" i="8" l="1"/>
  <c r="D386" i="8"/>
  <c r="D4" i="5"/>
  <c r="J135" i="7"/>
  <c r="K134" i="7"/>
  <c r="C386" i="4"/>
  <c r="D386" i="4" s="1"/>
  <c r="C388" i="8" l="1"/>
  <c r="D387" i="8"/>
  <c r="C6" i="5"/>
  <c r="D5" i="5"/>
  <c r="K135" i="7"/>
  <c r="K138" i="7" s="1"/>
  <c r="J138" i="7"/>
  <c r="C387" i="4"/>
  <c r="D387" i="4" s="1"/>
  <c r="C389" i="8" l="1"/>
  <c r="D388" i="8"/>
  <c r="C7" i="5"/>
  <c r="D6" i="5"/>
  <c r="C388" i="4"/>
  <c r="D388" i="4" s="1"/>
  <c r="C390" i="8" l="1"/>
  <c r="D389" i="8"/>
  <c r="C8" i="5"/>
  <c r="D7" i="5"/>
  <c r="C389" i="4"/>
  <c r="D389" i="4" s="1"/>
  <c r="C391" i="8" l="1"/>
  <c r="D390" i="8"/>
  <c r="C9" i="5"/>
  <c r="D8" i="5"/>
  <c r="C390" i="4"/>
  <c r="D390" i="4" s="1"/>
  <c r="C392" i="8" l="1"/>
  <c r="D391" i="8"/>
  <c r="C10" i="5"/>
  <c r="D9" i="5"/>
  <c r="C391" i="4"/>
  <c r="D391" i="4" s="1"/>
  <c r="C393" i="8" l="1"/>
  <c r="D392" i="8"/>
  <c r="C11" i="5"/>
  <c r="D10" i="5"/>
  <c r="C392" i="4"/>
  <c r="D392" i="4" s="1"/>
  <c r="C394" i="8" l="1"/>
  <c r="D393" i="8"/>
  <c r="C12" i="5"/>
  <c r="D11" i="5"/>
  <c r="C393" i="4"/>
  <c r="D393" i="4" s="1"/>
  <c r="C395" i="8" l="1"/>
  <c r="D394" i="8"/>
  <c r="C13" i="5"/>
  <c r="D12" i="5"/>
  <c r="C394" i="4"/>
  <c r="D394" i="4" s="1"/>
  <c r="C396" i="8" l="1"/>
  <c r="D395" i="8"/>
  <c r="C14" i="5"/>
  <c r="D13" i="5"/>
  <c r="C395" i="4"/>
  <c r="D395" i="4" s="1"/>
  <c r="C397" i="8" l="1"/>
  <c r="D396" i="8"/>
  <c r="C15" i="5"/>
  <c r="D14" i="5"/>
  <c r="C396" i="4"/>
  <c r="D396" i="4" s="1"/>
  <c r="C398" i="8" l="1"/>
  <c r="D397" i="8"/>
  <c r="C16" i="5"/>
  <c r="D15" i="5"/>
  <c r="C397" i="4"/>
  <c r="D397" i="4" s="1"/>
  <c r="C399" i="8" l="1"/>
  <c r="D398" i="8"/>
  <c r="C17" i="5"/>
  <c r="D16" i="5"/>
  <c r="C398" i="4"/>
  <c r="D398" i="4" s="1"/>
  <c r="C400" i="8" l="1"/>
  <c r="D399" i="8"/>
  <c r="C18" i="5"/>
  <c r="D17" i="5"/>
  <c r="C399" i="4"/>
  <c r="D399" i="4" s="1"/>
  <c r="C401" i="8" l="1"/>
  <c r="D400" i="8"/>
  <c r="C19" i="5"/>
  <c r="D18" i="5"/>
  <c r="C400" i="4"/>
  <c r="D400" i="4" s="1"/>
  <c r="C402" i="8" l="1"/>
  <c r="D401" i="8"/>
  <c r="C20" i="5"/>
  <c r="D19" i="5"/>
  <c r="C401" i="4"/>
  <c r="D401" i="4" s="1"/>
  <c r="C403" i="8" l="1"/>
  <c r="D402" i="8"/>
  <c r="C21" i="5"/>
  <c r="D20" i="5"/>
  <c r="C402" i="4"/>
  <c r="D402" i="4" s="1"/>
  <c r="C404" i="8" l="1"/>
  <c r="D403" i="8"/>
  <c r="C22" i="5"/>
  <c r="D21" i="5"/>
  <c r="C403" i="4"/>
  <c r="D403" i="4" s="1"/>
  <c r="C405" i="8" l="1"/>
  <c r="D404" i="8"/>
  <c r="C23" i="5"/>
  <c r="D22" i="5"/>
  <c r="C404" i="4"/>
  <c r="D404" i="4" s="1"/>
  <c r="C406" i="8" l="1"/>
  <c r="D405" i="8"/>
  <c r="C24" i="5"/>
  <c r="D23" i="5"/>
  <c r="C405" i="4"/>
  <c r="D405" i="4" s="1"/>
  <c r="C407" i="8" l="1"/>
  <c r="D406" i="8"/>
  <c r="C25" i="5"/>
  <c r="D24" i="5"/>
  <c r="C406" i="4"/>
  <c r="D406" i="4" s="1"/>
  <c r="C408" i="8" l="1"/>
  <c r="D407" i="8"/>
  <c r="C26" i="5"/>
  <c r="D25" i="5"/>
  <c r="C407" i="4"/>
  <c r="D407" i="4" s="1"/>
  <c r="C409" i="8" l="1"/>
  <c r="D408" i="8"/>
  <c r="C27" i="5"/>
  <c r="D26" i="5"/>
  <c r="C408" i="4"/>
  <c r="D408" i="4" s="1"/>
  <c r="C410" i="8" l="1"/>
  <c r="D409" i="8"/>
  <c r="C28" i="5"/>
  <c r="D27" i="5"/>
  <c r="C409" i="4"/>
  <c r="D409" i="4" s="1"/>
  <c r="C411" i="8" l="1"/>
  <c r="D410" i="8"/>
  <c r="C29" i="5"/>
  <c r="D28" i="5"/>
  <c r="C410" i="4"/>
  <c r="D410" i="4" s="1"/>
  <c r="C412" i="8" l="1"/>
  <c r="D411" i="8"/>
  <c r="C30" i="5"/>
  <c r="D29" i="5"/>
  <c r="C411" i="4"/>
  <c r="D411" i="4" s="1"/>
  <c r="C413" i="8" l="1"/>
  <c r="D412" i="8"/>
  <c r="C31" i="5"/>
  <c r="D30" i="5"/>
  <c r="C412" i="4"/>
  <c r="D412" i="4" s="1"/>
  <c r="C414" i="8" l="1"/>
  <c r="D413" i="8"/>
  <c r="C32" i="5"/>
  <c r="D31" i="5"/>
  <c r="C413" i="4"/>
  <c r="D413" i="4" s="1"/>
  <c r="C415" i="8" l="1"/>
  <c r="D414" i="8"/>
  <c r="C33" i="5"/>
  <c r="D32" i="5"/>
  <c r="C414" i="4"/>
  <c r="D414" i="4" s="1"/>
  <c r="C416" i="8" l="1"/>
  <c r="D415" i="8"/>
  <c r="C34" i="5"/>
  <c r="D33" i="5"/>
  <c r="C415" i="4"/>
  <c r="D415" i="4" s="1"/>
  <c r="C417" i="8" l="1"/>
  <c r="D416" i="8"/>
  <c r="C35" i="5"/>
  <c r="D34" i="5"/>
  <c r="C416" i="4"/>
  <c r="D416" i="4" s="1"/>
  <c r="C418" i="8" l="1"/>
  <c r="D417" i="8"/>
  <c r="C36" i="5"/>
  <c r="D35" i="5"/>
  <c r="C417" i="4"/>
  <c r="D417" i="4" s="1"/>
  <c r="C419" i="8" l="1"/>
  <c r="D418" i="8"/>
  <c r="C37" i="5"/>
  <c r="D36" i="5"/>
  <c r="C418" i="4"/>
  <c r="D418" i="4" s="1"/>
  <c r="C420" i="8" l="1"/>
  <c r="D419" i="8"/>
  <c r="C38" i="5"/>
  <c r="D37" i="5"/>
  <c r="C419" i="4"/>
  <c r="D419" i="4" s="1"/>
  <c r="C421" i="8" l="1"/>
  <c r="D421" i="8" s="1"/>
  <c r="F421" i="8" s="1"/>
  <c r="D420" i="8"/>
  <c r="C39" i="5"/>
  <c r="D38" i="5"/>
  <c r="C420" i="4"/>
  <c r="D420" i="4" s="1"/>
  <c r="E420" i="8" l="1"/>
  <c r="E419" i="8" s="1"/>
  <c r="C40" i="5"/>
  <c r="D39" i="5"/>
  <c r="C421" i="4"/>
  <c r="D421" i="4" s="1"/>
  <c r="F421" i="4" s="1"/>
  <c r="E418" i="8" l="1"/>
  <c r="F419" i="8"/>
  <c r="F420" i="8"/>
  <c r="C41" i="5"/>
  <c r="D40" i="5"/>
  <c r="E420" i="4"/>
  <c r="F420" i="4" s="1"/>
  <c r="E417" i="8" l="1"/>
  <c r="F418" i="8"/>
  <c r="C42" i="5"/>
  <c r="D41" i="5"/>
  <c r="E419" i="4"/>
  <c r="F419" i="4" s="1"/>
  <c r="E416" i="8" l="1"/>
  <c r="F417" i="8"/>
  <c r="C43" i="5"/>
  <c r="D42" i="5"/>
  <c r="E418" i="4"/>
  <c r="F418" i="4" s="1"/>
  <c r="E415" i="8" l="1"/>
  <c r="F416" i="8"/>
  <c r="C44" i="5"/>
  <c r="D43" i="5"/>
  <c r="E417" i="4"/>
  <c r="F417" i="4" s="1"/>
  <c r="E414" i="8" l="1"/>
  <c r="F415" i="8"/>
  <c r="C45" i="5"/>
  <c r="D44" i="5"/>
  <c r="E416" i="4"/>
  <c r="F416" i="4" s="1"/>
  <c r="E413" i="8" l="1"/>
  <c r="F414" i="8"/>
  <c r="C46" i="5"/>
  <c r="D45" i="5"/>
  <c r="E415" i="4"/>
  <c r="F415" i="4" s="1"/>
  <c r="E412" i="8" l="1"/>
  <c r="F413" i="8"/>
  <c r="C47" i="5"/>
  <c r="D46" i="5"/>
  <c r="E414" i="4"/>
  <c r="F414" i="4" s="1"/>
  <c r="E411" i="8" l="1"/>
  <c r="F412" i="8"/>
  <c r="C48" i="5"/>
  <c r="D47" i="5"/>
  <c r="E413" i="4"/>
  <c r="F413" i="4" s="1"/>
  <c r="E410" i="8" l="1"/>
  <c r="F411" i="8"/>
  <c r="C49" i="5"/>
  <c r="D48" i="5"/>
  <c r="E412" i="4"/>
  <c r="F412" i="4" s="1"/>
  <c r="E409" i="8" l="1"/>
  <c r="F410" i="8"/>
  <c r="C50" i="5"/>
  <c r="D49" i="5"/>
  <c r="E411" i="4"/>
  <c r="F411" i="4" s="1"/>
  <c r="E408" i="8" l="1"/>
  <c r="F409" i="8"/>
  <c r="C51" i="5"/>
  <c r="D50" i="5"/>
  <c r="E410" i="4"/>
  <c r="F410" i="4" s="1"/>
  <c r="E407" i="8" l="1"/>
  <c r="F408" i="8"/>
  <c r="C52" i="5"/>
  <c r="D51" i="5"/>
  <c r="E409" i="4"/>
  <c r="F409" i="4" s="1"/>
  <c r="E406" i="8" l="1"/>
  <c r="F407" i="8"/>
  <c r="C53" i="5"/>
  <c r="D52" i="5"/>
  <c r="E408" i="4"/>
  <c r="F408" i="4" s="1"/>
  <c r="E405" i="8" l="1"/>
  <c r="F406" i="8"/>
  <c r="C54" i="5"/>
  <c r="D53" i="5"/>
  <c r="E407" i="4"/>
  <c r="F407" i="4" s="1"/>
  <c r="E404" i="8" l="1"/>
  <c r="F405" i="8"/>
  <c r="C55" i="5"/>
  <c r="D54" i="5"/>
  <c r="E406" i="4"/>
  <c r="F406" i="4" s="1"/>
  <c r="E403" i="8" l="1"/>
  <c r="F404" i="8"/>
  <c r="C56" i="5"/>
  <c r="D55" i="5"/>
  <c r="E405" i="4"/>
  <c r="F405" i="4" s="1"/>
  <c r="E402" i="8" l="1"/>
  <c r="F403" i="8"/>
  <c r="C57" i="5"/>
  <c r="D56" i="5"/>
  <c r="E404" i="4"/>
  <c r="F404" i="4" s="1"/>
  <c r="E401" i="8" l="1"/>
  <c r="F402" i="8"/>
  <c r="C58" i="5"/>
  <c r="D57" i="5"/>
  <c r="E403" i="4"/>
  <c r="F403" i="4" s="1"/>
  <c r="E400" i="8" l="1"/>
  <c r="F401" i="8"/>
  <c r="C59" i="5"/>
  <c r="D58" i="5"/>
  <c r="E402" i="4"/>
  <c r="F402" i="4" s="1"/>
  <c r="E399" i="8" l="1"/>
  <c r="F400" i="8"/>
  <c r="C60" i="5"/>
  <c r="D59" i="5"/>
  <c r="E401" i="4"/>
  <c r="F401" i="4" s="1"/>
  <c r="E398" i="8" l="1"/>
  <c r="F399" i="8"/>
  <c r="C61" i="5"/>
  <c r="D60" i="5"/>
  <c r="E400" i="4"/>
  <c r="F400" i="4" s="1"/>
  <c r="E397" i="8" l="1"/>
  <c r="F398" i="8"/>
  <c r="C62" i="5"/>
  <c r="D61" i="5"/>
  <c r="E399" i="4"/>
  <c r="F399" i="4" s="1"/>
  <c r="E396" i="8" l="1"/>
  <c r="F397" i="8"/>
  <c r="C63" i="5"/>
  <c r="D62" i="5"/>
  <c r="E398" i="4"/>
  <c r="F398" i="4" s="1"/>
  <c r="E395" i="8" l="1"/>
  <c r="F396" i="8"/>
  <c r="C64" i="5"/>
  <c r="D63" i="5"/>
  <c r="E397" i="4"/>
  <c r="F397" i="4" s="1"/>
  <c r="E394" i="8" l="1"/>
  <c r="F395" i="8"/>
  <c r="C65" i="5"/>
  <c r="D64" i="5"/>
  <c r="E396" i="4"/>
  <c r="F396" i="4" s="1"/>
  <c r="E393" i="8" l="1"/>
  <c r="F394" i="8"/>
  <c r="C66" i="5"/>
  <c r="D65" i="5"/>
  <c r="E395" i="4"/>
  <c r="F395" i="4" s="1"/>
  <c r="E392" i="8" l="1"/>
  <c r="F393" i="8"/>
  <c r="C67" i="5"/>
  <c r="D66" i="5"/>
  <c r="E394" i="4"/>
  <c r="F394" i="4" s="1"/>
  <c r="E391" i="8" l="1"/>
  <c r="F392" i="8"/>
  <c r="C68" i="5"/>
  <c r="D67" i="5"/>
  <c r="E393" i="4"/>
  <c r="F393" i="4" s="1"/>
  <c r="E390" i="8" l="1"/>
  <c r="F391" i="8"/>
  <c r="C69" i="5"/>
  <c r="D68" i="5"/>
  <c r="E392" i="4"/>
  <c r="F392" i="4" s="1"/>
  <c r="E389" i="8" l="1"/>
  <c r="F390" i="8"/>
  <c r="C70" i="5"/>
  <c r="D69" i="5"/>
  <c r="E391" i="4"/>
  <c r="F391" i="4" s="1"/>
  <c r="E388" i="8" l="1"/>
  <c r="F389" i="8"/>
  <c r="C71" i="5"/>
  <c r="D70" i="5"/>
  <c r="E390" i="4"/>
  <c r="F390" i="4" s="1"/>
  <c r="E387" i="8" l="1"/>
  <c r="F388" i="8"/>
  <c r="C72" i="5"/>
  <c r="D71" i="5"/>
  <c r="E389" i="4"/>
  <c r="F389" i="4" s="1"/>
  <c r="E386" i="8" l="1"/>
  <c r="F387" i="8"/>
  <c r="C73" i="5"/>
  <c r="D72" i="5"/>
  <c r="E388" i="4"/>
  <c r="F388" i="4" s="1"/>
  <c r="E385" i="8" l="1"/>
  <c r="F386" i="8"/>
  <c r="C74" i="5"/>
  <c r="D73" i="5"/>
  <c r="E387" i="4"/>
  <c r="F387" i="4" s="1"/>
  <c r="E384" i="8" l="1"/>
  <c r="F385" i="8"/>
  <c r="C75" i="5"/>
  <c r="D74" i="5"/>
  <c r="E386" i="4"/>
  <c r="F386" i="4" s="1"/>
  <c r="E383" i="8" l="1"/>
  <c r="F384" i="8"/>
  <c r="C76" i="5"/>
  <c r="D75" i="5"/>
  <c r="E385" i="4"/>
  <c r="F385" i="4" s="1"/>
  <c r="E382" i="8" l="1"/>
  <c r="F383" i="8"/>
  <c r="C77" i="5"/>
  <c r="D76" i="5"/>
  <c r="E384" i="4"/>
  <c r="F384" i="4" s="1"/>
  <c r="E381" i="8" l="1"/>
  <c r="F382" i="8"/>
  <c r="C78" i="5"/>
  <c r="D77" i="5"/>
  <c r="E383" i="4"/>
  <c r="F383" i="4" s="1"/>
  <c r="E380" i="8" l="1"/>
  <c r="F381" i="8"/>
  <c r="C79" i="5"/>
  <c r="D78" i="5"/>
  <c r="E382" i="4"/>
  <c r="F382" i="4" s="1"/>
  <c r="E379" i="8" l="1"/>
  <c r="F380" i="8"/>
  <c r="C80" i="5"/>
  <c r="D79" i="5"/>
  <c r="E381" i="4"/>
  <c r="F381" i="4" s="1"/>
  <c r="E378" i="8" l="1"/>
  <c r="F379" i="8"/>
  <c r="C81" i="5"/>
  <c r="D80" i="5"/>
  <c r="E380" i="4"/>
  <c r="F380" i="4" s="1"/>
  <c r="E377" i="8" l="1"/>
  <c r="F378" i="8"/>
  <c r="C82" i="5"/>
  <c r="D81" i="5"/>
  <c r="E379" i="4"/>
  <c r="F379" i="4" s="1"/>
  <c r="E376" i="8" l="1"/>
  <c r="F377" i="8"/>
  <c r="C83" i="5"/>
  <c r="D82" i="5"/>
  <c r="E378" i="4"/>
  <c r="F378" i="4" s="1"/>
  <c r="E375" i="8" l="1"/>
  <c r="F376" i="8"/>
  <c r="C84" i="5"/>
  <c r="D83" i="5"/>
  <c r="E377" i="4"/>
  <c r="F377" i="4" s="1"/>
  <c r="E374" i="8" l="1"/>
  <c r="F375" i="8"/>
  <c r="C85" i="5"/>
  <c r="D84" i="5"/>
  <c r="E376" i="4"/>
  <c r="F376" i="4" s="1"/>
  <c r="E373" i="8" l="1"/>
  <c r="F374" i="8"/>
  <c r="C86" i="5"/>
  <c r="D85" i="5"/>
  <c r="E375" i="4"/>
  <c r="F375" i="4" s="1"/>
  <c r="E372" i="8" l="1"/>
  <c r="F373" i="8"/>
  <c r="C87" i="5"/>
  <c r="D86" i="5"/>
  <c r="E374" i="4"/>
  <c r="F374" i="4" s="1"/>
  <c r="E371" i="8" l="1"/>
  <c r="F372" i="8"/>
  <c r="C88" i="5"/>
  <c r="D87" i="5"/>
  <c r="E373" i="4"/>
  <c r="F373" i="4" s="1"/>
  <c r="E370" i="8" l="1"/>
  <c r="F371" i="8"/>
  <c r="C89" i="5"/>
  <c r="D88" i="5"/>
  <c r="E372" i="4"/>
  <c r="F372" i="4" s="1"/>
  <c r="E369" i="8" l="1"/>
  <c r="F370" i="8"/>
  <c r="C90" i="5"/>
  <c r="D89" i="5"/>
  <c r="E371" i="4"/>
  <c r="F371" i="4" s="1"/>
  <c r="E368" i="8" l="1"/>
  <c r="F369" i="8"/>
  <c r="C91" i="5"/>
  <c r="D90" i="5"/>
  <c r="E370" i="4"/>
  <c r="F370" i="4" s="1"/>
  <c r="E367" i="8" l="1"/>
  <c r="F368" i="8"/>
  <c r="C92" i="5"/>
  <c r="D91" i="5"/>
  <c r="E369" i="4"/>
  <c r="F369" i="4" s="1"/>
  <c r="E366" i="8" l="1"/>
  <c r="F367" i="8"/>
  <c r="C93" i="5"/>
  <c r="D92" i="5"/>
  <c r="E368" i="4"/>
  <c r="F368" i="4" s="1"/>
  <c r="E365" i="8" l="1"/>
  <c r="F366" i="8"/>
  <c r="C94" i="5"/>
  <c r="D93" i="5"/>
  <c r="E367" i="4"/>
  <c r="F367" i="4" s="1"/>
  <c r="E364" i="8" l="1"/>
  <c r="F365" i="8"/>
  <c r="C95" i="5"/>
  <c r="D94" i="5"/>
  <c r="E366" i="4"/>
  <c r="F366" i="4" s="1"/>
  <c r="E363" i="8" l="1"/>
  <c r="F364" i="8"/>
  <c r="C96" i="5"/>
  <c r="D95" i="5"/>
  <c r="E365" i="4"/>
  <c r="F365" i="4" s="1"/>
  <c r="E362" i="8" l="1"/>
  <c r="F363" i="8"/>
  <c r="C97" i="5"/>
  <c r="D96" i="5"/>
  <c r="E364" i="4"/>
  <c r="F364" i="4" s="1"/>
  <c r="E361" i="8" l="1"/>
  <c r="F362" i="8"/>
  <c r="C98" i="5"/>
  <c r="D97" i="5"/>
  <c r="E363" i="4"/>
  <c r="F363" i="4" s="1"/>
  <c r="E360" i="8" l="1"/>
  <c r="F361" i="8"/>
  <c r="C99" i="5"/>
  <c r="D98" i="5"/>
  <c r="E362" i="4"/>
  <c r="F362" i="4" s="1"/>
  <c r="E359" i="8" l="1"/>
  <c r="F360" i="8"/>
  <c r="C100" i="5"/>
  <c r="D99" i="5"/>
  <c r="E361" i="4"/>
  <c r="F361" i="4" s="1"/>
  <c r="E358" i="8" l="1"/>
  <c r="F359" i="8"/>
  <c r="C101" i="5"/>
  <c r="D100" i="5"/>
  <c r="E360" i="4"/>
  <c r="F360" i="4" s="1"/>
  <c r="E357" i="8" l="1"/>
  <c r="F358" i="8"/>
  <c r="C102" i="5"/>
  <c r="D101" i="5"/>
  <c r="E359" i="4"/>
  <c r="F359" i="4" s="1"/>
  <c r="E356" i="8" l="1"/>
  <c r="F357" i="8"/>
  <c r="C103" i="5"/>
  <c r="D102" i="5"/>
  <c r="E358" i="4"/>
  <c r="F358" i="4" s="1"/>
  <c r="E355" i="8" l="1"/>
  <c r="F356" i="8"/>
  <c r="C104" i="5"/>
  <c r="D103" i="5"/>
  <c r="E357" i="4"/>
  <c r="F357" i="4" s="1"/>
  <c r="E354" i="8" l="1"/>
  <c r="F355" i="8"/>
  <c r="C105" i="5"/>
  <c r="D104" i="5"/>
  <c r="E356" i="4"/>
  <c r="F356" i="4" s="1"/>
  <c r="E353" i="8" l="1"/>
  <c r="F354" i="8"/>
  <c r="C106" i="5"/>
  <c r="D105" i="5"/>
  <c r="E355" i="4"/>
  <c r="F355" i="4" s="1"/>
  <c r="E352" i="8" l="1"/>
  <c r="F353" i="8"/>
  <c r="C107" i="5"/>
  <c r="D106" i="5"/>
  <c r="E354" i="4"/>
  <c r="F354" i="4" s="1"/>
  <c r="E351" i="8" l="1"/>
  <c r="F352" i="8"/>
  <c r="C108" i="5"/>
  <c r="D107" i="5"/>
  <c r="E353" i="4"/>
  <c r="F353" i="4" s="1"/>
  <c r="E350" i="8" l="1"/>
  <c r="F351" i="8"/>
  <c r="C109" i="5"/>
  <c r="D108" i="5"/>
  <c r="E352" i="4"/>
  <c r="F352" i="4" s="1"/>
  <c r="E349" i="8" l="1"/>
  <c r="F350" i="8"/>
  <c r="C110" i="5"/>
  <c r="D109" i="5"/>
  <c r="E351" i="4"/>
  <c r="F351" i="4" s="1"/>
  <c r="E348" i="8" l="1"/>
  <c r="F349" i="8"/>
  <c r="C111" i="5"/>
  <c r="D110" i="5"/>
  <c r="E350" i="4"/>
  <c r="F350" i="4" s="1"/>
  <c r="E347" i="8" l="1"/>
  <c r="F348" i="8"/>
  <c r="C112" i="5"/>
  <c r="D111" i="5"/>
  <c r="E349" i="4"/>
  <c r="F349" i="4" s="1"/>
  <c r="E346" i="8" l="1"/>
  <c r="F347" i="8"/>
  <c r="C113" i="5"/>
  <c r="D112" i="5"/>
  <c r="E348" i="4"/>
  <c r="F348" i="4" s="1"/>
  <c r="E345" i="8" l="1"/>
  <c r="F346" i="8"/>
  <c r="C114" i="5"/>
  <c r="D113" i="5"/>
  <c r="E347" i="4"/>
  <c r="F347" i="4" s="1"/>
  <c r="E344" i="8" l="1"/>
  <c r="F345" i="8"/>
  <c r="C115" i="5"/>
  <c r="D114" i="5"/>
  <c r="E346" i="4"/>
  <c r="F346" i="4" s="1"/>
  <c r="E343" i="8" l="1"/>
  <c r="F344" i="8"/>
  <c r="C116" i="5"/>
  <c r="D115" i="5"/>
  <c r="E345" i="4"/>
  <c r="F345" i="4" s="1"/>
  <c r="E342" i="8" l="1"/>
  <c r="F343" i="8"/>
  <c r="C117" i="5"/>
  <c r="D116" i="5"/>
  <c r="E344" i="4"/>
  <c r="F344" i="4" s="1"/>
  <c r="E341" i="8" l="1"/>
  <c r="F342" i="8"/>
  <c r="C118" i="5"/>
  <c r="D117" i="5"/>
  <c r="E343" i="4"/>
  <c r="F343" i="4" s="1"/>
  <c r="E340" i="8" l="1"/>
  <c r="F341" i="8"/>
  <c r="C119" i="5"/>
  <c r="D118" i="5"/>
  <c r="E342" i="4"/>
  <c r="F342" i="4" s="1"/>
  <c r="E339" i="8" l="1"/>
  <c r="F340" i="8"/>
  <c r="C120" i="5"/>
  <c r="D119" i="5"/>
  <c r="E341" i="4"/>
  <c r="F341" i="4" s="1"/>
  <c r="E338" i="8" l="1"/>
  <c r="F339" i="8"/>
  <c r="C121" i="5"/>
  <c r="D120" i="5"/>
  <c r="E340" i="4"/>
  <c r="F340" i="4" s="1"/>
  <c r="E337" i="8" l="1"/>
  <c r="F338" i="8"/>
  <c r="C122" i="5"/>
  <c r="D121" i="5"/>
  <c r="E339" i="4"/>
  <c r="F339" i="4" s="1"/>
  <c r="E336" i="8" l="1"/>
  <c r="F337" i="8"/>
  <c r="C123" i="5"/>
  <c r="D122" i="5"/>
  <c r="E338" i="4"/>
  <c r="F338" i="4" s="1"/>
  <c r="E335" i="8" l="1"/>
  <c r="F336" i="8"/>
  <c r="C124" i="5"/>
  <c r="D123" i="5"/>
  <c r="E337" i="4"/>
  <c r="F337" i="4" s="1"/>
  <c r="E334" i="8" l="1"/>
  <c r="F335" i="8"/>
  <c r="C125" i="5"/>
  <c r="D124" i="5"/>
  <c r="E336" i="4"/>
  <c r="F336" i="4" s="1"/>
  <c r="E333" i="8" l="1"/>
  <c r="F334" i="8"/>
  <c r="C126" i="5"/>
  <c r="D125" i="5"/>
  <c r="E335" i="4"/>
  <c r="F335" i="4" s="1"/>
  <c r="E332" i="8" l="1"/>
  <c r="F333" i="8"/>
  <c r="C127" i="5"/>
  <c r="D126" i="5"/>
  <c r="E334" i="4"/>
  <c r="F334" i="4" s="1"/>
  <c r="E331" i="8" l="1"/>
  <c r="F332" i="8"/>
  <c r="C128" i="5"/>
  <c r="D127" i="5"/>
  <c r="E333" i="4"/>
  <c r="F333" i="4" s="1"/>
  <c r="E330" i="8" l="1"/>
  <c r="F331" i="8"/>
  <c r="C129" i="5"/>
  <c r="D128" i="5"/>
  <c r="E332" i="4"/>
  <c r="F332" i="4" s="1"/>
  <c r="E329" i="8" l="1"/>
  <c r="F330" i="8"/>
  <c r="C130" i="5"/>
  <c r="D130" i="5" s="1"/>
  <c r="D129" i="5"/>
  <c r="E331" i="4"/>
  <c r="F331" i="4" s="1"/>
  <c r="E328" i="8" l="1"/>
  <c r="F329" i="8"/>
  <c r="E330" i="4"/>
  <c r="F330" i="4" s="1"/>
  <c r="E327" i="8" l="1"/>
  <c r="F328" i="8"/>
  <c r="E130" i="5"/>
  <c r="E329" i="4"/>
  <c r="F329" i="4" s="1"/>
  <c r="E326" i="8" l="1"/>
  <c r="F327" i="8"/>
  <c r="E129" i="5"/>
  <c r="F130" i="5"/>
  <c r="E328" i="4"/>
  <c r="F328" i="4" s="1"/>
  <c r="E325" i="8" l="1"/>
  <c r="F326" i="8"/>
  <c r="E128" i="5"/>
  <c r="F129" i="5"/>
  <c r="E327" i="4"/>
  <c r="F327" i="4" s="1"/>
  <c r="E324" i="8" l="1"/>
  <c r="F325" i="8"/>
  <c r="F128" i="5"/>
  <c r="E127" i="5"/>
  <c r="E326" i="4"/>
  <c r="F326" i="4" s="1"/>
  <c r="E323" i="8" l="1"/>
  <c r="F324" i="8"/>
  <c r="F127" i="5"/>
  <c r="E126" i="5"/>
  <c r="E325" i="4"/>
  <c r="F325" i="4" s="1"/>
  <c r="E322" i="8" l="1"/>
  <c r="F323" i="8"/>
  <c r="F126" i="5"/>
  <c r="E125" i="5"/>
  <c r="E324" i="4"/>
  <c r="F324" i="4" s="1"/>
  <c r="E321" i="8" l="1"/>
  <c r="F322" i="8"/>
  <c r="F125" i="5"/>
  <c r="E124" i="5"/>
  <c r="E323" i="4"/>
  <c r="F323" i="4" s="1"/>
  <c r="E320" i="8" l="1"/>
  <c r="F321" i="8"/>
  <c r="F124" i="5"/>
  <c r="E123" i="5"/>
  <c r="E322" i="4"/>
  <c r="F322" i="4" s="1"/>
  <c r="E319" i="8" l="1"/>
  <c r="F320" i="8"/>
  <c r="F123" i="5"/>
  <c r="E122" i="5"/>
  <c r="E321" i="4"/>
  <c r="F321" i="4" s="1"/>
  <c r="E318" i="8" l="1"/>
  <c r="F319" i="8"/>
  <c r="F122" i="5"/>
  <c r="E121" i="5"/>
  <c r="E320" i="4"/>
  <c r="F320" i="4" s="1"/>
  <c r="E317" i="8" l="1"/>
  <c r="F318" i="8"/>
  <c r="F121" i="5"/>
  <c r="E120" i="5"/>
  <c r="E319" i="4"/>
  <c r="F319" i="4" s="1"/>
  <c r="E316" i="8" l="1"/>
  <c r="F317" i="8"/>
  <c r="F120" i="5"/>
  <c r="E119" i="5"/>
  <c r="E318" i="4"/>
  <c r="F318" i="4" s="1"/>
  <c r="E315" i="8" l="1"/>
  <c r="F316" i="8"/>
  <c r="F119" i="5"/>
  <c r="E118" i="5"/>
  <c r="E317" i="4"/>
  <c r="F317" i="4" s="1"/>
  <c r="E314" i="8" l="1"/>
  <c r="F315" i="8"/>
  <c r="E117" i="5"/>
  <c r="F118" i="5"/>
  <c r="E316" i="4"/>
  <c r="F316" i="4" s="1"/>
  <c r="E313" i="8" l="1"/>
  <c r="F314" i="8"/>
  <c r="E116" i="5"/>
  <c r="F117" i="5"/>
  <c r="E315" i="4"/>
  <c r="F315" i="4" s="1"/>
  <c r="E312" i="8" l="1"/>
  <c r="F313" i="8"/>
  <c r="F116" i="5"/>
  <c r="E115" i="5"/>
  <c r="E314" i="4"/>
  <c r="F314" i="4" s="1"/>
  <c r="E311" i="8" l="1"/>
  <c r="F312" i="8"/>
  <c r="F115" i="5"/>
  <c r="E114" i="5"/>
  <c r="E313" i="4"/>
  <c r="F313" i="4" s="1"/>
  <c r="E310" i="8" l="1"/>
  <c r="F311" i="8"/>
  <c r="F114" i="5"/>
  <c r="E113" i="5"/>
  <c r="E312" i="4"/>
  <c r="F312" i="4" s="1"/>
  <c r="E309" i="8" l="1"/>
  <c r="F310" i="8"/>
  <c r="F113" i="5"/>
  <c r="E112" i="5"/>
  <c r="E311" i="4"/>
  <c r="F311" i="4" s="1"/>
  <c r="E308" i="8" l="1"/>
  <c r="F309" i="8"/>
  <c r="F112" i="5"/>
  <c r="E111" i="5"/>
  <c r="E310" i="4"/>
  <c r="F310" i="4" s="1"/>
  <c r="E307" i="8" l="1"/>
  <c r="F308" i="8"/>
  <c r="F111" i="5"/>
  <c r="E110" i="5"/>
  <c r="E309" i="4"/>
  <c r="F309" i="4" s="1"/>
  <c r="E306" i="8" l="1"/>
  <c r="F307" i="8"/>
  <c r="F110" i="5"/>
  <c r="E109" i="5"/>
  <c r="E308" i="4"/>
  <c r="F308" i="4" s="1"/>
  <c r="E305" i="8" l="1"/>
  <c r="F306" i="8"/>
  <c r="F109" i="5"/>
  <c r="E108" i="5"/>
  <c r="E307" i="4"/>
  <c r="F307" i="4" s="1"/>
  <c r="E304" i="8" l="1"/>
  <c r="F305" i="8"/>
  <c r="F108" i="5"/>
  <c r="E107" i="5"/>
  <c r="E306" i="4"/>
  <c r="F306" i="4" s="1"/>
  <c r="E303" i="8" l="1"/>
  <c r="F304" i="8"/>
  <c r="F107" i="5"/>
  <c r="E106" i="5"/>
  <c r="E305" i="4"/>
  <c r="F305" i="4" s="1"/>
  <c r="E302" i="8" l="1"/>
  <c r="F303" i="8"/>
  <c r="F106" i="5"/>
  <c r="E105" i="5"/>
  <c r="E304" i="4"/>
  <c r="F304" i="4" s="1"/>
  <c r="E301" i="8" l="1"/>
  <c r="F302" i="8"/>
  <c r="F105" i="5"/>
  <c r="E104" i="5"/>
  <c r="E303" i="4"/>
  <c r="F303" i="4" s="1"/>
  <c r="E300" i="8" l="1"/>
  <c r="F301" i="8"/>
  <c r="F104" i="5"/>
  <c r="E103" i="5"/>
  <c r="E302" i="4"/>
  <c r="F302" i="4" s="1"/>
  <c r="E299" i="8" l="1"/>
  <c r="F300" i="8"/>
  <c r="F103" i="5"/>
  <c r="E102" i="5"/>
  <c r="E301" i="4"/>
  <c r="F301" i="4" s="1"/>
  <c r="E298" i="8" l="1"/>
  <c r="F299" i="8"/>
  <c r="E101" i="5"/>
  <c r="F102" i="5"/>
  <c r="E300" i="4"/>
  <c r="F300" i="4" s="1"/>
  <c r="E297" i="8" l="1"/>
  <c r="F298" i="8"/>
  <c r="E100" i="5"/>
  <c r="F101" i="5"/>
  <c r="E299" i="4"/>
  <c r="F299" i="4" s="1"/>
  <c r="E296" i="8" l="1"/>
  <c r="F297" i="8"/>
  <c r="F100" i="5"/>
  <c r="E99" i="5"/>
  <c r="E298" i="4"/>
  <c r="F298" i="4" s="1"/>
  <c r="E295" i="8" l="1"/>
  <c r="F296" i="8"/>
  <c r="F99" i="5"/>
  <c r="E98" i="5"/>
  <c r="E297" i="4"/>
  <c r="F297" i="4" s="1"/>
  <c r="E294" i="8" l="1"/>
  <c r="F295" i="8"/>
  <c r="F98" i="5"/>
  <c r="E97" i="5"/>
  <c r="E296" i="4"/>
  <c r="F296" i="4" s="1"/>
  <c r="E293" i="8" l="1"/>
  <c r="F294" i="8"/>
  <c r="F97" i="5"/>
  <c r="E96" i="5"/>
  <c r="E295" i="4"/>
  <c r="F295" i="4" s="1"/>
  <c r="E292" i="8" l="1"/>
  <c r="F293" i="8"/>
  <c r="F96" i="5"/>
  <c r="E95" i="5"/>
  <c r="E294" i="4"/>
  <c r="F294" i="4" s="1"/>
  <c r="E291" i="8" l="1"/>
  <c r="F292" i="8"/>
  <c r="F95" i="5"/>
  <c r="E94" i="5"/>
  <c r="E293" i="4"/>
  <c r="F293" i="4" s="1"/>
  <c r="E290" i="8" l="1"/>
  <c r="F291" i="8"/>
  <c r="F94" i="5"/>
  <c r="E93" i="5"/>
  <c r="E292" i="4"/>
  <c r="F292" i="4" s="1"/>
  <c r="E289" i="8" l="1"/>
  <c r="F290" i="8"/>
  <c r="F93" i="5"/>
  <c r="E92" i="5"/>
  <c r="E291" i="4"/>
  <c r="F291" i="4" s="1"/>
  <c r="E288" i="8" l="1"/>
  <c r="F289" i="8"/>
  <c r="F92" i="5"/>
  <c r="E91" i="5"/>
  <c r="E290" i="4"/>
  <c r="F290" i="4" s="1"/>
  <c r="E287" i="8" l="1"/>
  <c r="F288" i="8"/>
  <c r="F91" i="5"/>
  <c r="E90" i="5"/>
  <c r="E289" i="4"/>
  <c r="F289" i="4" s="1"/>
  <c r="E286" i="8" l="1"/>
  <c r="F287" i="8"/>
  <c r="F90" i="5"/>
  <c r="E89" i="5"/>
  <c r="E288" i="4"/>
  <c r="F288" i="4" s="1"/>
  <c r="E285" i="8" l="1"/>
  <c r="F286" i="8"/>
  <c r="F89" i="5"/>
  <c r="E88" i="5"/>
  <c r="E287" i="4"/>
  <c r="F287" i="4" s="1"/>
  <c r="E284" i="8" l="1"/>
  <c r="F285" i="8"/>
  <c r="F88" i="5"/>
  <c r="E87" i="5"/>
  <c r="E286" i="4"/>
  <c r="F286" i="4" s="1"/>
  <c r="E283" i="8" l="1"/>
  <c r="F284" i="8"/>
  <c r="F87" i="5"/>
  <c r="E86" i="5"/>
  <c r="E285" i="4"/>
  <c r="F285" i="4" s="1"/>
  <c r="E282" i="8" l="1"/>
  <c r="F283" i="8"/>
  <c r="E85" i="5"/>
  <c r="F86" i="5"/>
  <c r="E284" i="4"/>
  <c r="F284" i="4" s="1"/>
  <c r="E281" i="8" l="1"/>
  <c r="F282" i="8"/>
  <c r="E84" i="5"/>
  <c r="F85" i="5"/>
  <c r="E283" i="4"/>
  <c r="F283" i="4" s="1"/>
  <c r="E280" i="8" l="1"/>
  <c r="F281" i="8"/>
  <c r="F84" i="5"/>
  <c r="E83" i="5"/>
  <c r="E282" i="4"/>
  <c r="F282" i="4" s="1"/>
  <c r="E279" i="8" l="1"/>
  <c r="F280" i="8"/>
  <c r="F83" i="5"/>
  <c r="E82" i="5"/>
  <c r="E281" i="4"/>
  <c r="F281" i="4" s="1"/>
  <c r="E278" i="8" l="1"/>
  <c r="F279" i="8"/>
  <c r="F82" i="5"/>
  <c r="E81" i="5"/>
  <c r="E280" i="4"/>
  <c r="F280" i="4" s="1"/>
  <c r="E277" i="8" l="1"/>
  <c r="F278" i="8"/>
  <c r="F81" i="5"/>
  <c r="E80" i="5"/>
  <c r="E279" i="4"/>
  <c r="F279" i="4" s="1"/>
  <c r="E276" i="8" l="1"/>
  <c r="F277" i="8"/>
  <c r="F80" i="5"/>
  <c r="E79" i="5"/>
  <c r="E278" i="4"/>
  <c r="F278" i="4" s="1"/>
  <c r="E275" i="8" l="1"/>
  <c r="F276" i="8"/>
  <c r="F79" i="5"/>
  <c r="E78" i="5"/>
  <c r="E277" i="4"/>
  <c r="F277" i="4" s="1"/>
  <c r="E274" i="8" l="1"/>
  <c r="F275" i="8"/>
  <c r="F78" i="5"/>
  <c r="E77" i="5"/>
  <c r="E276" i="4"/>
  <c r="F276" i="4" s="1"/>
  <c r="E273" i="8" l="1"/>
  <c r="F274" i="8"/>
  <c r="F77" i="5"/>
  <c r="E76" i="5"/>
  <c r="E275" i="4"/>
  <c r="F275" i="4" s="1"/>
  <c r="E272" i="8" l="1"/>
  <c r="F273" i="8"/>
  <c r="F76" i="5"/>
  <c r="E75" i="5"/>
  <c r="E274" i="4"/>
  <c r="F274" i="4" s="1"/>
  <c r="E271" i="8" l="1"/>
  <c r="F272" i="8"/>
  <c r="F75" i="5"/>
  <c r="E74" i="5"/>
  <c r="E273" i="4"/>
  <c r="F273" i="4" s="1"/>
  <c r="E270" i="8" l="1"/>
  <c r="F271" i="8"/>
  <c r="F74" i="5"/>
  <c r="E73" i="5"/>
  <c r="E272" i="4"/>
  <c r="F272" i="4" s="1"/>
  <c r="E269" i="8" l="1"/>
  <c r="F270" i="8"/>
  <c r="F73" i="5"/>
  <c r="E72" i="5"/>
  <c r="E271" i="4"/>
  <c r="F271" i="4" s="1"/>
  <c r="E268" i="8" l="1"/>
  <c r="F269" i="8"/>
  <c r="F72" i="5"/>
  <c r="E71" i="5"/>
  <c r="E270" i="4"/>
  <c r="F270" i="4" s="1"/>
  <c r="E267" i="8" l="1"/>
  <c r="F268" i="8"/>
  <c r="F71" i="5"/>
  <c r="E70" i="5"/>
  <c r="E269" i="4"/>
  <c r="F269" i="4" s="1"/>
  <c r="E266" i="8" l="1"/>
  <c r="F267" i="8"/>
  <c r="E69" i="5"/>
  <c r="F70" i="5"/>
  <c r="E268" i="4"/>
  <c r="F268" i="4" s="1"/>
  <c r="E265" i="8" l="1"/>
  <c r="F266" i="8"/>
  <c r="E68" i="5"/>
  <c r="F69" i="5"/>
  <c r="E267" i="4"/>
  <c r="F267" i="4" s="1"/>
  <c r="E264" i="8" l="1"/>
  <c r="F265" i="8"/>
  <c r="F68" i="5"/>
  <c r="E67" i="5"/>
  <c r="E266" i="4"/>
  <c r="F266" i="4" s="1"/>
  <c r="E263" i="8" l="1"/>
  <c r="F264" i="8"/>
  <c r="F67" i="5"/>
  <c r="E66" i="5"/>
  <c r="E265" i="4"/>
  <c r="F265" i="4" s="1"/>
  <c r="E262" i="8" l="1"/>
  <c r="F263" i="8"/>
  <c r="F66" i="5"/>
  <c r="E65" i="5"/>
  <c r="E264" i="4"/>
  <c r="F264" i="4" s="1"/>
  <c r="E261" i="8" l="1"/>
  <c r="F262" i="8"/>
  <c r="F65" i="5"/>
  <c r="E64" i="5"/>
  <c r="E263" i="4"/>
  <c r="F263" i="4" s="1"/>
  <c r="E260" i="8" l="1"/>
  <c r="F261" i="8"/>
  <c r="F64" i="5"/>
  <c r="E63" i="5"/>
  <c r="E262" i="4"/>
  <c r="F262" i="4" s="1"/>
  <c r="E259" i="8" l="1"/>
  <c r="F260" i="8"/>
  <c r="F63" i="5"/>
  <c r="E62" i="5"/>
  <c r="E261" i="4"/>
  <c r="F261" i="4" s="1"/>
  <c r="E258" i="8" l="1"/>
  <c r="F259" i="8"/>
  <c r="F62" i="5"/>
  <c r="E61" i="5"/>
  <c r="E260" i="4"/>
  <c r="F260" i="4" s="1"/>
  <c r="E257" i="8" l="1"/>
  <c r="F258" i="8"/>
  <c r="F61" i="5"/>
  <c r="E60" i="5"/>
  <c r="E259" i="4"/>
  <c r="F259" i="4" s="1"/>
  <c r="E256" i="8" l="1"/>
  <c r="F257" i="8"/>
  <c r="F60" i="5"/>
  <c r="E59" i="5"/>
  <c r="E258" i="4"/>
  <c r="F258" i="4" s="1"/>
  <c r="E255" i="8" l="1"/>
  <c r="F256" i="8"/>
  <c r="F59" i="5"/>
  <c r="E58" i="5"/>
  <c r="E257" i="4"/>
  <c r="F257" i="4" s="1"/>
  <c r="E254" i="8" l="1"/>
  <c r="F255" i="8"/>
  <c r="F58" i="5"/>
  <c r="E57" i="5"/>
  <c r="E256" i="4"/>
  <c r="F256" i="4" s="1"/>
  <c r="E253" i="8" l="1"/>
  <c r="F254" i="8"/>
  <c r="F57" i="5"/>
  <c r="E56" i="5"/>
  <c r="E255" i="4"/>
  <c r="F255" i="4" s="1"/>
  <c r="E252" i="8" l="1"/>
  <c r="F253" i="8"/>
  <c r="F56" i="5"/>
  <c r="E55" i="5"/>
  <c r="E254" i="4"/>
  <c r="F254" i="4" s="1"/>
  <c r="E251" i="8" l="1"/>
  <c r="F252" i="8"/>
  <c r="F55" i="5"/>
  <c r="E54" i="5"/>
  <c r="E253" i="4"/>
  <c r="F253" i="4" s="1"/>
  <c r="E250" i="8" l="1"/>
  <c r="F251" i="8"/>
  <c r="E53" i="5"/>
  <c r="F54" i="5"/>
  <c r="E252" i="4"/>
  <c r="F252" i="4" s="1"/>
  <c r="E249" i="8" l="1"/>
  <c r="F250" i="8"/>
  <c r="E52" i="5"/>
  <c r="F53" i="5"/>
  <c r="E251" i="4"/>
  <c r="F251" i="4" s="1"/>
  <c r="E248" i="8" l="1"/>
  <c r="F249" i="8"/>
  <c r="F52" i="5"/>
  <c r="E51" i="5"/>
  <c r="E250" i="4"/>
  <c r="F250" i="4" s="1"/>
  <c r="E247" i="8" l="1"/>
  <c r="F248" i="8"/>
  <c r="F51" i="5"/>
  <c r="E50" i="5"/>
  <c r="E249" i="4"/>
  <c r="F249" i="4" s="1"/>
  <c r="E246" i="8" l="1"/>
  <c r="F247" i="8"/>
  <c r="F50" i="5"/>
  <c r="E49" i="5"/>
  <c r="E248" i="4"/>
  <c r="F248" i="4" s="1"/>
  <c r="E245" i="8" l="1"/>
  <c r="F246" i="8"/>
  <c r="F49" i="5"/>
  <c r="E48" i="5"/>
  <c r="E247" i="4"/>
  <c r="F247" i="4" s="1"/>
  <c r="E244" i="8" l="1"/>
  <c r="F245" i="8"/>
  <c r="F48" i="5"/>
  <c r="E47" i="5"/>
  <c r="E246" i="4"/>
  <c r="F246" i="4" s="1"/>
  <c r="E243" i="8" l="1"/>
  <c r="F244" i="8"/>
  <c r="F47" i="5"/>
  <c r="E46" i="5"/>
  <c r="E245" i="4"/>
  <c r="F245" i="4" s="1"/>
  <c r="E242" i="8" l="1"/>
  <c r="F243" i="8"/>
  <c r="F46" i="5"/>
  <c r="E45" i="5"/>
  <c r="E244" i="4"/>
  <c r="F244" i="4" s="1"/>
  <c r="E241" i="8" l="1"/>
  <c r="F242" i="8"/>
  <c r="F45" i="5"/>
  <c r="E44" i="5"/>
  <c r="E243" i="4"/>
  <c r="F243" i="4" s="1"/>
  <c r="E240" i="8" l="1"/>
  <c r="F241" i="8"/>
  <c r="F44" i="5"/>
  <c r="E43" i="5"/>
  <c r="E242" i="4"/>
  <c r="F242" i="4" s="1"/>
  <c r="E239" i="8" l="1"/>
  <c r="F240" i="8"/>
  <c r="F43" i="5"/>
  <c r="E42" i="5"/>
  <c r="E241" i="4"/>
  <c r="F241" i="4" s="1"/>
  <c r="E238" i="8" l="1"/>
  <c r="F239" i="8"/>
  <c r="F42" i="5"/>
  <c r="E41" i="5"/>
  <c r="E240" i="4"/>
  <c r="F240" i="4" s="1"/>
  <c r="E237" i="8" l="1"/>
  <c r="F238" i="8"/>
  <c r="F41" i="5"/>
  <c r="E40" i="5"/>
  <c r="E239" i="4"/>
  <c r="F239" i="4" s="1"/>
  <c r="E236" i="8" l="1"/>
  <c r="F237" i="8"/>
  <c r="F40" i="5"/>
  <c r="E39" i="5"/>
  <c r="E238" i="4"/>
  <c r="F238" i="4" s="1"/>
  <c r="E235" i="8" l="1"/>
  <c r="F236" i="8"/>
  <c r="F39" i="5"/>
  <c r="E38" i="5"/>
  <c r="E237" i="4"/>
  <c r="F237" i="4" s="1"/>
  <c r="E234" i="8" l="1"/>
  <c r="F235" i="8"/>
  <c r="E37" i="5"/>
  <c r="F38" i="5"/>
  <c r="E236" i="4"/>
  <c r="F236" i="4" s="1"/>
  <c r="E233" i="8" l="1"/>
  <c r="F234" i="8"/>
  <c r="E36" i="5"/>
  <c r="F37" i="5"/>
  <c r="E235" i="4"/>
  <c r="F235" i="4" s="1"/>
  <c r="E232" i="8" l="1"/>
  <c r="F233" i="8"/>
  <c r="F36" i="5"/>
  <c r="E35" i="5"/>
  <c r="E234" i="4"/>
  <c r="F234" i="4" s="1"/>
  <c r="E231" i="8" l="1"/>
  <c r="F232" i="8"/>
  <c r="F35" i="5"/>
  <c r="E34" i="5"/>
  <c r="E233" i="4"/>
  <c r="F233" i="4" s="1"/>
  <c r="E230" i="8" l="1"/>
  <c r="F231" i="8"/>
  <c r="F34" i="5"/>
  <c r="E33" i="5"/>
  <c r="E232" i="4"/>
  <c r="F232" i="4" s="1"/>
  <c r="E229" i="8" l="1"/>
  <c r="F230" i="8"/>
  <c r="F33" i="5"/>
  <c r="E32" i="5"/>
  <c r="E231" i="4"/>
  <c r="F231" i="4" s="1"/>
  <c r="E228" i="8" l="1"/>
  <c r="F229" i="8"/>
  <c r="F32" i="5"/>
  <c r="E31" i="5"/>
  <c r="E230" i="4"/>
  <c r="F230" i="4" s="1"/>
  <c r="E227" i="8" l="1"/>
  <c r="F228" i="8"/>
  <c r="F31" i="5"/>
  <c r="E30" i="5"/>
  <c r="E229" i="4"/>
  <c r="F229" i="4" s="1"/>
  <c r="E226" i="8" l="1"/>
  <c r="F227" i="8"/>
  <c r="F30" i="5"/>
  <c r="E29" i="5"/>
  <c r="E228" i="4"/>
  <c r="F228" i="4" s="1"/>
  <c r="E225" i="8" l="1"/>
  <c r="F226" i="8"/>
  <c r="F29" i="5"/>
  <c r="E28" i="5"/>
  <c r="E227" i="4"/>
  <c r="F227" i="4" s="1"/>
  <c r="E224" i="8" l="1"/>
  <c r="F225" i="8"/>
  <c r="F28" i="5"/>
  <c r="E27" i="5"/>
  <c r="E226" i="4"/>
  <c r="F226" i="4" s="1"/>
  <c r="E223" i="8" l="1"/>
  <c r="F224" i="8"/>
  <c r="F27" i="5"/>
  <c r="E26" i="5"/>
  <c r="E225" i="4"/>
  <c r="F225" i="4" s="1"/>
  <c r="E222" i="8" l="1"/>
  <c r="F223" i="8"/>
  <c r="F26" i="5"/>
  <c r="E25" i="5"/>
  <c r="E224" i="4"/>
  <c r="F224" i="4" s="1"/>
  <c r="E221" i="8" l="1"/>
  <c r="F222" i="8"/>
  <c r="F25" i="5"/>
  <c r="E24" i="5"/>
  <c r="E223" i="4"/>
  <c r="F223" i="4" s="1"/>
  <c r="E220" i="8" l="1"/>
  <c r="F221" i="8"/>
  <c r="F24" i="5"/>
  <c r="E23" i="5"/>
  <c r="E222" i="4"/>
  <c r="F222" i="4" s="1"/>
  <c r="E219" i="8" l="1"/>
  <c r="F220" i="8"/>
  <c r="F23" i="5"/>
  <c r="E22" i="5"/>
  <c r="E221" i="4"/>
  <c r="F221" i="4" s="1"/>
  <c r="E218" i="8" l="1"/>
  <c r="F219" i="8"/>
  <c r="E21" i="5"/>
  <c r="F22" i="5"/>
  <c r="E220" i="4"/>
  <c r="F220" i="4" s="1"/>
  <c r="E217" i="8" l="1"/>
  <c r="F218" i="8"/>
  <c r="F21" i="5"/>
  <c r="E20" i="5"/>
  <c r="E219" i="4"/>
  <c r="F219" i="4" s="1"/>
  <c r="E216" i="8" l="1"/>
  <c r="F217" i="8"/>
  <c r="F20" i="5"/>
  <c r="E19" i="5"/>
  <c r="E218" i="4"/>
  <c r="F218" i="4" s="1"/>
  <c r="E215" i="8" l="1"/>
  <c r="F216" i="8"/>
  <c r="F19" i="5"/>
  <c r="E18" i="5"/>
  <c r="E217" i="4"/>
  <c r="F217" i="4" s="1"/>
  <c r="E214" i="8" l="1"/>
  <c r="F215" i="8"/>
  <c r="F18" i="5"/>
  <c r="E17" i="5"/>
  <c r="E216" i="4"/>
  <c r="F216" i="4" s="1"/>
  <c r="E213" i="8" l="1"/>
  <c r="F214" i="8"/>
  <c r="F17" i="5"/>
  <c r="E16" i="5"/>
  <c r="E215" i="4"/>
  <c r="F215" i="4" s="1"/>
  <c r="E212" i="8" l="1"/>
  <c r="F213" i="8"/>
  <c r="F16" i="5"/>
  <c r="E15" i="5"/>
  <c r="E214" i="4"/>
  <c r="F214" i="4" s="1"/>
  <c r="E211" i="8" l="1"/>
  <c r="F212" i="8"/>
  <c r="F15" i="5"/>
  <c r="E14" i="5"/>
  <c r="E213" i="4"/>
  <c r="F213" i="4" s="1"/>
  <c r="E210" i="8" l="1"/>
  <c r="F211" i="8"/>
  <c r="F14" i="5"/>
  <c r="E13" i="5"/>
  <c r="E212" i="4"/>
  <c r="F212" i="4" s="1"/>
  <c r="E209" i="8" l="1"/>
  <c r="F210" i="8"/>
  <c r="F13" i="5"/>
  <c r="E12" i="5"/>
  <c r="E211" i="4"/>
  <c r="F211" i="4" s="1"/>
  <c r="E208" i="8" l="1"/>
  <c r="F209" i="8"/>
  <c r="F12" i="5"/>
  <c r="E11" i="5"/>
  <c r="E210" i="4"/>
  <c r="F210" i="4" s="1"/>
  <c r="E207" i="8" l="1"/>
  <c r="F208" i="8"/>
  <c r="F11" i="5"/>
  <c r="E10" i="5"/>
  <c r="E209" i="4"/>
  <c r="F209" i="4" s="1"/>
  <c r="E206" i="8" l="1"/>
  <c r="F207" i="8"/>
  <c r="F10" i="5"/>
  <c r="E9" i="5"/>
  <c r="E208" i="4"/>
  <c r="F208" i="4" s="1"/>
  <c r="E205" i="8" l="1"/>
  <c r="F206" i="8"/>
  <c r="F9" i="5"/>
  <c r="E8" i="5"/>
  <c r="E207" i="4"/>
  <c r="F207" i="4" s="1"/>
  <c r="E204" i="8" l="1"/>
  <c r="F205" i="8"/>
  <c r="F8" i="5"/>
  <c r="E7" i="5"/>
  <c r="E206" i="4"/>
  <c r="F206" i="4" s="1"/>
  <c r="E203" i="8" l="1"/>
  <c r="F204" i="8"/>
  <c r="F7" i="5"/>
  <c r="E6" i="5"/>
  <c r="E205" i="4"/>
  <c r="F205" i="4" s="1"/>
  <c r="E202" i="8" l="1"/>
  <c r="F203" i="8"/>
  <c r="E5" i="5"/>
  <c r="F6" i="5"/>
  <c r="E204" i="4"/>
  <c r="F204" i="4" s="1"/>
  <c r="E201" i="8" l="1"/>
  <c r="F202" i="8"/>
  <c r="E4" i="5"/>
  <c r="F4" i="5" s="1"/>
  <c r="G4" i="5" s="1"/>
  <c r="F5" i="5"/>
  <c r="E203" i="4"/>
  <c r="F203" i="4" s="1"/>
  <c r="E200" i="8" l="1"/>
  <c r="F201" i="8"/>
  <c r="H4" i="5"/>
  <c r="G5" i="5"/>
  <c r="G6" i="5" s="1"/>
  <c r="E202" i="4"/>
  <c r="F202" i="4" s="1"/>
  <c r="E199" i="8" l="1"/>
  <c r="F200" i="8"/>
  <c r="H5" i="5"/>
  <c r="G7" i="5"/>
  <c r="H6" i="5"/>
  <c r="E201" i="4"/>
  <c r="F201" i="4" s="1"/>
  <c r="E198" i="8" l="1"/>
  <c r="F199" i="8"/>
  <c r="H7" i="5"/>
  <c r="G8" i="5"/>
  <c r="E200" i="4"/>
  <c r="F200" i="4" s="1"/>
  <c r="E197" i="8" l="1"/>
  <c r="F198" i="8"/>
  <c r="H8" i="5"/>
  <c r="G9" i="5"/>
  <c r="E199" i="4"/>
  <c r="F199" i="4" s="1"/>
  <c r="E196" i="8" l="1"/>
  <c r="F197" i="8"/>
  <c r="H9" i="5"/>
  <c r="G10" i="5"/>
  <c r="E198" i="4"/>
  <c r="F198" i="4" s="1"/>
  <c r="E195" i="8" l="1"/>
  <c r="F196" i="8"/>
  <c r="H10" i="5"/>
  <c r="G11" i="5"/>
  <c r="E197" i="4"/>
  <c r="F197" i="4" s="1"/>
  <c r="E194" i="8" l="1"/>
  <c r="F195" i="8"/>
  <c r="H11" i="5"/>
  <c r="G12" i="5"/>
  <c r="E196" i="4"/>
  <c r="F196" i="4" s="1"/>
  <c r="E193" i="8" l="1"/>
  <c r="F194" i="8"/>
  <c r="H12" i="5"/>
  <c r="G13" i="5"/>
  <c r="E195" i="4"/>
  <c r="F195" i="4" s="1"/>
  <c r="E192" i="8" l="1"/>
  <c r="F193" i="8"/>
  <c r="H13" i="5"/>
  <c r="G14" i="5"/>
  <c r="E194" i="4"/>
  <c r="F194" i="4" s="1"/>
  <c r="E191" i="8" l="1"/>
  <c r="F192" i="8"/>
  <c r="H14" i="5"/>
  <c r="G15" i="5"/>
  <c r="E193" i="4"/>
  <c r="F193" i="4" s="1"/>
  <c r="E190" i="8" l="1"/>
  <c r="F191" i="8"/>
  <c r="H15" i="5"/>
  <c r="G16" i="5"/>
  <c r="E192" i="4"/>
  <c r="F192" i="4" s="1"/>
  <c r="E189" i="8" l="1"/>
  <c r="F190" i="8"/>
  <c r="H16" i="5"/>
  <c r="G17" i="5"/>
  <c r="E191" i="4"/>
  <c r="F191" i="4" s="1"/>
  <c r="E188" i="8" l="1"/>
  <c r="F189" i="8"/>
  <c r="H17" i="5"/>
  <c r="G18" i="5"/>
  <c r="E190" i="4"/>
  <c r="F190" i="4" s="1"/>
  <c r="E187" i="8" l="1"/>
  <c r="F188" i="8"/>
  <c r="H18" i="5"/>
  <c r="G19" i="5"/>
  <c r="E189" i="4"/>
  <c r="F189" i="4" s="1"/>
  <c r="E186" i="8" l="1"/>
  <c r="F187" i="8"/>
  <c r="H19" i="5"/>
  <c r="G20" i="5"/>
  <c r="E188" i="4"/>
  <c r="F188" i="4" s="1"/>
  <c r="E185" i="8" l="1"/>
  <c r="F186" i="8"/>
  <c r="G21" i="5"/>
  <c r="H20" i="5"/>
  <c r="E187" i="4"/>
  <c r="F187" i="4" s="1"/>
  <c r="E184" i="8" l="1"/>
  <c r="F185" i="8"/>
  <c r="G22" i="5"/>
  <c r="H21" i="5"/>
  <c r="E186" i="4"/>
  <c r="F186" i="4" s="1"/>
  <c r="E183" i="8" l="1"/>
  <c r="F184" i="8"/>
  <c r="G23" i="5"/>
  <c r="H22" i="5"/>
  <c r="E185" i="4"/>
  <c r="F185" i="4" s="1"/>
  <c r="E182" i="8" l="1"/>
  <c r="F183" i="8"/>
  <c r="H23" i="5"/>
  <c r="G24" i="5"/>
  <c r="E184" i="4"/>
  <c r="F184" i="4" s="1"/>
  <c r="E181" i="8" l="1"/>
  <c r="F182" i="8"/>
  <c r="H24" i="5"/>
  <c r="G25" i="5"/>
  <c r="E183" i="4"/>
  <c r="F183" i="4" s="1"/>
  <c r="E180" i="8" l="1"/>
  <c r="F181" i="8"/>
  <c r="H25" i="5"/>
  <c r="G26" i="5"/>
  <c r="E182" i="4"/>
  <c r="F182" i="4" s="1"/>
  <c r="E179" i="8" l="1"/>
  <c r="F180" i="8"/>
  <c r="H26" i="5"/>
  <c r="G27" i="5"/>
  <c r="E181" i="4"/>
  <c r="F181" i="4" s="1"/>
  <c r="E178" i="8" l="1"/>
  <c r="F179" i="8"/>
  <c r="H27" i="5"/>
  <c r="G28" i="5"/>
  <c r="E180" i="4"/>
  <c r="F180" i="4" s="1"/>
  <c r="E177" i="8" l="1"/>
  <c r="F178" i="8"/>
  <c r="H28" i="5"/>
  <c r="G29" i="5"/>
  <c r="E179" i="4"/>
  <c r="F179" i="4" s="1"/>
  <c r="E176" i="8" l="1"/>
  <c r="F177" i="8"/>
  <c r="H29" i="5"/>
  <c r="G30" i="5"/>
  <c r="E178" i="4"/>
  <c r="F178" i="4" s="1"/>
  <c r="E175" i="8" l="1"/>
  <c r="F176" i="8"/>
  <c r="H30" i="5"/>
  <c r="G31" i="5"/>
  <c r="E177" i="4"/>
  <c r="F177" i="4" s="1"/>
  <c r="E174" i="8" l="1"/>
  <c r="F175" i="8"/>
  <c r="H31" i="5"/>
  <c r="G32" i="5"/>
  <c r="E176" i="4"/>
  <c r="F176" i="4" s="1"/>
  <c r="E173" i="8" l="1"/>
  <c r="F174" i="8"/>
  <c r="H32" i="5"/>
  <c r="G33" i="5"/>
  <c r="E175" i="4"/>
  <c r="F175" i="4" s="1"/>
  <c r="E172" i="8" l="1"/>
  <c r="F173" i="8"/>
  <c r="H33" i="5"/>
  <c r="G34" i="5"/>
  <c r="E174" i="4"/>
  <c r="F174" i="4" s="1"/>
  <c r="E171" i="8" l="1"/>
  <c r="F172" i="8"/>
  <c r="H34" i="5"/>
  <c r="G35" i="5"/>
  <c r="E173" i="4"/>
  <c r="F173" i="4" s="1"/>
  <c r="E170" i="8" l="1"/>
  <c r="F171" i="8"/>
  <c r="G36" i="5"/>
  <c r="H35" i="5"/>
  <c r="E172" i="4"/>
  <c r="F172" i="4" s="1"/>
  <c r="E169" i="8" l="1"/>
  <c r="F170" i="8"/>
  <c r="G37" i="5"/>
  <c r="H36" i="5"/>
  <c r="E171" i="4"/>
  <c r="F171" i="4" s="1"/>
  <c r="E168" i="8" l="1"/>
  <c r="F169" i="8"/>
  <c r="G38" i="5"/>
  <c r="H37" i="5"/>
  <c r="E170" i="4"/>
  <c r="F170" i="4" s="1"/>
  <c r="E167" i="8" l="1"/>
  <c r="F168" i="8"/>
  <c r="G39" i="5"/>
  <c r="H38" i="5"/>
  <c r="E169" i="4"/>
  <c r="F169" i="4" s="1"/>
  <c r="E166" i="8" l="1"/>
  <c r="F167" i="8"/>
  <c r="H39" i="5"/>
  <c r="G40" i="5"/>
  <c r="E168" i="4"/>
  <c r="F168" i="4" s="1"/>
  <c r="E165" i="8" l="1"/>
  <c r="F166" i="8"/>
  <c r="H40" i="5"/>
  <c r="G41" i="5"/>
  <c r="E167" i="4"/>
  <c r="F167" i="4" s="1"/>
  <c r="E164" i="8" l="1"/>
  <c r="F165" i="8"/>
  <c r="H41" i="5"/>
  <c r="G42" i="5"/>
  <c r="E166" i="4"/>
  <c r="F166" i="4" s="1"/>
  <c r="E163" i="8" l="1"/>
  <c r="F164" i="8"/>
  <c r="H42" i="5"/>
  <c r="G43" i="5"/>
  <c r="E165" i="4"/>
  <c r="F165" i="4" s="1"/>
  <c r="E162" i="8" l="1"/>
  <c r="F163" i="8"/>
  <c r="H43" i="5"/>
  <c r="G44" i="5"/>
  <c r="E164" i="4"/>
  <c r="F164" i="4" s="1"/>
  <c r="E161" i="8" l="1"/>
  <c r="F162" i="8"/>
  <c r="H44" i="5"/>
  <c r="G45" i="5"/>
  <c r="E163" i="4"/>
  <c r="F163" i="4" s="1"/>
  <c r="E160" i="8" l="1"/>
  <c r="F161" i="8"/>
  <c r="H45" i="5"/>
  <c r="G46" i="5"/>
  <c r="E162" i="4"/>
  <c r="F162" i="4" s="1"/>
  <c r="E159" i="8" l="1"/>
  <c r="F160" i="8"/>
  <c r="H46" i="5"/>
  <c r="G47" i="5"/>
  <c r="E161" i="4"/>
  <c r="F161" i="4" s="1"/>
  <c r="E158" i="8" l="1"/>
  <c r="F159" i="8"/>
  <c r="H47" i="5"/>
  <c r="G48" i="5"/>
  <c r="E160" i="4"/>
  <c r="F160" i="4" s="1"/>
  <c r="E157" i="8" l="1"/>
  <c r="F158" i="8"/>
  <c r="H48" i="5"/>
  <c r="G49" i="5"/>
  <c r="E159" i="4"/>
  <c r="F159" i="4" s="1"/>
  <c r="E156" i="8" l="1"/>
  <c r="F157" i="8"/>
  <c r="H49" i="5"/>
  <c r="G50" i="5"/>
  <c r="E158" i="4"/>
  <c r="F158" i="4" s="1"/>
  <c r="E155" i="8" l="1"/>
  <c r="F156" i="8"/>
  <c r="H50" i="5"/>
  <c r="G51" i="5"/>
  <c r="E157" i="4"/>
  <c r="F157" i="4" s="1"/>
  <c r="E154" i="8" l="1"/>
  <c r="F155" i="8"/>
  <c r="H51" i="5"/>
  <c r="G52" i="5"/>
  <c r="E156" i="4"/>
  <c r="F156" i="4" s="1"/>
  <c r="E153" i="8" l="1"/>
  <c r="F154" i="8"/>
  <c r="G53" i="5"/>
  <c r="H52" i="5"/>
  <c r="E155" i="4"/>
  <c r="F155" i="4" s="1"/>
  <c r="E152" i="8" l="1"/>
  <c r="F153" i="8"/>
  <c r="G54" i="5"/>
  <c r="H53" i="5"/>
  <c r="E154" i="4"/>
  <c r="F154" i="4" s="1"/>
  <c r="E151" i="8" l="1"/>
  <c r="F152" i="8"/>
  <c r="G55" i="5"/>
  <c r="H54" i="5"/>
  <c r="E153" i="4"/>
  <c r="F153" i="4" s="1"/>
  <c r="E150" i="8" l="1"/>
  <c r="F151" i="8"/>
  <c r="H55" i="5"/>
  <c r="G56" i="5"/>
  <c r="E152" i="4"/>
  <c r="F152" i="4" s="1"/>
  <c r="E149" i="8" l="1"/>
  <c r="F150" i="8"/>
  <c r="H56" i="5"/>
  <c r="G57" i="5"/>
  <c r="E151" i="4"/>
  <c r="F151" i="4" s="1"/>
  <c r="E148" i="8" l="1"/>
  <c r="F149" i="8"/>
  <c r="H57" i="5"/>
  <c r="G58" i="5"/>
  <c r="E150" i="4"/>
  <c r="F150" i="4" s="1"/>
  <c r="E147" i="8" l="1"/>
  <c r="F148" i="8"/>
  <c r="H58" i="5"/>
  <c r="G59" i="5"/>
  <c r="E149" i="4"/>
  <c r="F149" i="4" s="1"/>
  <c r="E146" i="8" l="1"/>
  <c r="F147" i="8"/>
  <c r="H59" i="5"/>
  <c r="G60" i="5"/>
  <c r="E148" i="4"/>
  <c r="F148" i="4" s="1"/>
  <c r="E145" i="8" l="1"/>
  <c r="F146" i="8"/>
  <c r="H60" i="5"/>
  <c r="G61" i="5"/>
  <c r="E147" i="4"/>
  <c r="F147" i="4" s="1"/>
  <c r="E144" i="8" l="1"/>
  <c r="F145" i="8"/>
  <c r="H61" i="5"/>
  <c r="G62" i="5"/>
  <c r="E146" i="4"/>
  <c r="F146" i="4" s="1"/>
  <c r="E143" i="8" l="1"/>
  <c r="F144" i="8"/>
  <c r="H62" i="5"/>
  <c r="G63" i="5"/>
  <c r="E145" i="4"/>
  <c r="F145" i="4" s="1"/>
  <c r="E142" i="8" l="1"/>
  <c r="F143" i="8"/>
  <c r="H63" i="5"/>
  <c r="G64" i="5"/>
  <c r="E144" i="4"/>
  <c r="F144" i="4" s="1"/>
  <c r="E141" i="8" l="1"/>
  <c r="F142" i="8"/>
  <c r="H64" i="5"/>
  <c r="G65" i="5"/>
  <c r="E143" i="4"/>
  <c r="F143" i="4" s="1"/>
  <c r="E140" i="8" l="1"/>
  <c r="F141" i="8"/>
  <c r="H65" i="5"/>
  <c r="G66" i="5"/>
  <c r="E142" i="4"/>
  <c r="F142" i="4" s="1"/>
  <c r="E139" i="8" l="1"/>
  <c r="F140" i="8"/>
  <c r="H66" i="5"/>
  <c r="G67" i="5"/>
  <c r="E141" i="4"/>
  <c r="F141" i="4" s="1"/>
  <c r="E138" i="8" l="1"/>
  <c r="F139" i="8"/>
  <c r="G68" i="5"/>
  <c r="H67" i="5"/>
  <c r="E140" i="4"/>
  <c r="F140" i="4" s="1"/>
  <c r="E137" i="8" l="1"/>
  <c r="F138" i="8"/>
  <c r="G69" i="5"/>
  <c r="H68" i="5"/>
  <c r="E139" i="4"/>
  <c r="F139" i="4" s="1"/>
  <c r="E136" i="8" l="1"/>
  <c r="F137" i="8"/>
  <c r="G70" i="5"/>
  <c r="H69" i="5"/>
  <c r="E138" i="4"/>
  <c r="F138" i="4" s="1"/>
  <c r="E135" i="8" l="1"/>
  <c r="F136" i="8"/>
  <c r="G71" i="5"/>
  <c r="H70" i="5"/>
  <c r="E137" i="4"/>
  <c r="F137" i="4" s="1"/>
  <c r="E134" i="8" l="1"/>
  <c r="F135" i="8"/>
  <c r="H71" i="5"/>
  <c r="G72" i="5"/>
  <c r="E136" i="4"/>
  <c r="F136" i="4" s="1"/>
  <c r="E133" i="8" l="1"/>
  <c r="F134" i="8"/>
  <c r="H72" i="5"/>
  <c r="G73" i="5"/>
  <c r="E135" i="4"/>
  <c r="F135" i="4" s="1"/>
  <c r="E132" i="8" l="1"/>
  <c r="F133" i="8"/>
  <c r="H73" i="5"/>
  <c r="G74" i="5"/>
  <c r="E134" i="4"/>
  <c r="F134" i="4" s="1"/>
  <c r="E131" i="8" l="1"/>
  <c r="F132" i="8"/>
  <c r="H74" i="5"/>
  <c r="G75" i="5"/>
  <c r="E133" i="4"/>
  <c r="F133" i="4" s="1"/>
  <c r="E130" i="8" l="1"/>
  <c r="F131" i="8"/>
  <c r="H75" i="5"/>
  <c r="G76" i="5"/>
  <c r="E132" i="4"/>
  <c r="F132" i="4" s="1"/>
  <c r="E129" i="8" l="1"/>
  <c r="F130" i="8"/>
  <c r="H76" i="5"/>
  <c r="G77" i="5"/>
  <c r="E131" i="4"/>
  <c r="F131" i="4" s="1"/>
  <c r="E128" i="8" l="1"/>
  <c r="F129" i="8"/>
  <c r="H77" i="5"/>
  <c r="G78" i="5"/>
  <c r="E130" i="4"/>
  <c r="F130" i="4" s="1"/>
  <c r="E127" i="8" l="1"/>
  <c r="F128" i="8"/>
  <c r="H78" i="5"/>
  <c r="G79" i="5"/>
  <c r="E129" i="4"/>
  <c r="F129" i="4" s="1"/>
  <c r="E126" i="8" l="1"/>
  <c r="F127" i="8"/>
  <c r="H79" i="5"/>
  <c r="G80" i="5"/>
  <c r="E128" i="4"/>
  <c r="F128" i="4" s="1"/>
  <c r="E125" i="8" l="1"/>
  <c r="F126" i="8"/>
  <c r="H80" i="5"/>
  <c r="G81" i="5"/>
  <c r="E127" i="4"/>
  <c r="F127" i="4" s="1"/>
  <c r="E124" i="8" l="1"/>
  <c r="F125" i="8"/>
  <c r="H81" i="5"/>
  <c r="G82" i="5"/>
  <c r="E126" i="4"/>
  <c r="F126" i="4" s="1"/>
  <c r="E123" i="8" l="1"/>
  <c r="F124" i="8"/>
  <c r="H82" i="5"/>
  <c r="G83" i="5"/>
  <c r="E125" i="4"/>
  <c r="F125" i="4" s="1"/>
  <c r="E122" i="8" l="1"/>
  <c r="F123" i="8"/>
  <c r="G84" i="5"/>
  <c r="H83" i="5"/>
  <c r="E124" i="4"/>
  <c r="F124" i="4" s="1"/>
  <c r="E121" i="8" l="1"/>
  <c r="F122" i="8"/>
  <c r="G85" i="5"/>
  <c r="H84" i="5"/>
  <c r="E123" i="4"/>
  <c r="F123" i="4" s="1"/>
  <c r="E120" i="8" l="1"/>
  <c r="F121" i="8"/>
  <c r="G86" i="5"/>
  <c r="H85" i="5"/>
  <c r="E122" i="4"/>
  <c r="F122" i="4" s="1"/>
  <c r="E119" i="8" l="1"/>
  <c r="F120" i="8"/>
  <c r="G87" i="5"/>
  <c r="H86" i="5"/>
  <c r="E121" i="4"/>
  <c r="F121" i="4" s="1"/>
  <c r="E118" i="8" l="1"/>
  <c r="F119" i="8"/>
  <c r="H87" i="5"/>
  <c r="G88" i="5"/>
  <c r="E120" i="4"/>
  <c r="F120" i="4" s="1"/>
  <c r="E117" i="8" l="1"/>
  <c r="F118" i="8"/>
  <c r="H88" i="5"/>
  <c r="G89" i="5"/>
  <c r="E119" i="4"/>
  <c r="F119" i="4" s="1"/>
  <c r="E116" i="8" l="1"/>
  <c r="F117" i="8"/>
  <c r="H89" i="5"/>
  <c r="G90" i="5"/>
  <c r="E118" i="4"/>
  <c r="F118" i="4" s="1"/>
  <c r="E115" i="8" l="1"/>
  <c r="F116" i="8"/>
  <c r="H90" i="5"/>
  <c r="G91" i="5"/>
  <c r="E117" i="4"/>
  <c r="F117" i="4" s="1"/>
  <c r="E114" i="8" l="1"/>
  <c r="F115" i="8"/>
  <c r="H91" i="5"/>
  <c r="G92" i="5"/>
  <c r="E116" i="4"/>
  <c r="F116" i="4" s="1"/>
  <c r="E113" i="8" l="1"/>
  <c r="F114" i="8"/>
  <c r="H92" i="5"/>
  <c r="G93" i="5"/>
  <c r="E115" i="4"/>
  <c r="F115" i="4" s="1"/>
  <c r="E112" i="8" l="1"/>
  <c r="F113" i="8"/>
  <c r="H93" i="5"/>
  <c r="G94" i="5"/>
  <c r="E114" i="4"/>
  <c r="F114" i="4" s="1"/>
  <c r="E111" i="8" l="1"/>
  <c r="F112" i="8"/>
  <c r="H94" i="5"/>
  <c r="G95" i="5"/>
  <c r="E113" i="4"/>
  <c r="F113" i="4" s="1"/>
  <c r="E110" i="8" l="1"/>
  <c r="F111" i="8"/>
  <c r="H95" i="5"/>
  <c r="G96" i="5"/>
  <c r="E112" i="4"/>
  <c r="F112" i="4" s="1"/>
  <c r="E109" i="8" l="1"/>
  <c r="F110" i="8"/>
  <c r="H96" i="5"/>
  <c r="G97" i="5"/>
  <c r="E111" i="4"/>
  <c r="F111" i="4" s="1"/>
  <c r="E108" i="8" l="1"/>
  <c r="F109" i="8"/>
  <c r="H97" i="5"/>
  <c r="G98" i="5"/>
  <c r="E110" i="4"/>
  <c r="F110" i="4" s="1"/>
  <c r="E107" i="8" l="1"/>
  <c r="F108" i="8"/>
  <c r="H98" i="5"/>
  <c r="G99" i="5"/>
  <c r="E109" i="4"/>
  <c r="F109" i="4" s="1"/>
  <c r="E106" i="8" l="1"/>
  <c r="F107" i="8"/>
  <c r="G100" i="5"/>
  <c r="H99" i="5"/>
  <c r="E108" i="4"/>
  <c r="F108" i="4" s="1"/>
  <c r="E105" i="8" l="1"/>
  <c r="F106" i="8"/>
  <c r="G101" i="5"/>
  <c r="H100" i="5"/>
  <c r="E107" i="4"/>
  <c r="F107" i="4" s="1"/>
  <c r="E104" i="8" l="1"/>
  <c r="F105" i="8"/>
  <c r="G102" i="5"/>
  <c r="H101" i="5"/>
  <c r="E106" i="4"/>
  <c r="F106" i="4" s="1"/>
  <c r="E103" i="8" l="1"/>
  <c r="F104" i="8"/>
  <c r="G103" i="5"/>
  <c r="H102" i="5"/>
  <c r="E105" i="4"/>
  <c r="F105" i="4" s="1"/>
  <c r="E102" i="8" l="1"/>
  <c r="F103" i="8"/>
  <c r="H103" i="5"/>
  <c r="G104" i="5"/>
  <c r="E104" i="4"/>
  <c r="F104" i="4" s="1"/>
  <c r="E101" i="8" l="1"/>
  <c r="F102" i="8"/>
  <c r="H104" i="5"/>
  <c r="G105" i="5"/>
  <c r="E103" i="4"/>
  <c r="F103" i="4" s="1"/>
  <c r="E100" i="8" l="1"/>
  <c r="F101" i="8"/>
  <c r="H105" i="5"/>
  <c r="G106" i="5"/>
  <c r="E102" i="4"/>
  <c r="F102" i="4" s="1"/>
  <c r="E99" i="8" l="1"/>
  <c r="F100" i="8"/>
  <c r="H106" i="5"/>
  <c r="G107" i="5"/>
  <c r="E101" i="4"/>
  <c r="F101" i="4" s="1"/>
  <c r="E98" i="8" l="1"/>
  <c r="F99" i="8"/>
  <c r="H107" i="5"/>
  <c r="G108" i="5"/>
  <c r="E100" i="4"/>
  <c r="F100" i="4" s="1"/>
  <c r="E97" i="8" l="1"/>
  <c r="F98" i="8"/>
  <c r="H108" i="5"/>
  <c r="G109" i="5"/>
  <c r="E99" i="4"/>
  <c r="F99" i="4" s="1"/>
  <c r="E96" i="8" l="1"/>
  <c r="F97" i="8"/>
  <c r="H109" i="5"/>
  <c r="G110" i="5"/>
  <c r="E98" i="4"/>
  <c r="F98" i="4" s="1"/>
  <c r="E95" i="8" l="1"/>
  <c r="F96" i="8"/>
  <c r="H110" i="5"/>
  <c r="G111" i="5"/>
  <c r="E97" i="4"/>
  <c r="F97" i="4" s="1"/>
  <c r="E94" i="8" l="1"/>
  <c r="F95" i="8"/>
  <c r="H111" i="5"/>
  <c r="G112" i="5"/>
  <c r="E96" i="4"/>
  <c r="F96" i="4" s="1"/>
  <c r="E93" i="8" l="1"/>
  <c r="F94" i="8"/>
  <c r="H112" i="5"/>
  <c r="G113" i="5"/>
  <c r="E95" i="4"/>
  <c r="F95" i="4" s="1"/>
  <c r="E92" i="8" l="1"/>
  <c r="F93" i="8"/>
  <c r="H113" i="5"/>
  <c r="G114" i="5"/>
  <c r="E94" i="4"/>
  <c r="F94" i="4" s="1"/>
  <c r="E91" i="8" l="1"/>
  <c r="F92" i="8"/>
  <c r="H114" i="5"/>
  <c r="G115" i="5"/>
  <c r="E93" i="4"/>
  <c r="F93" i="4" s="1"/>
  <c r="E90" i="8" l="1"/>
  <c r="F91" i="8"/>
  <c r="G116" i="5"/>
  <c r="H115" i="5"/>
  <c r="E92" i="4"/>
  <c r="F92" i="4" s="1"/>
  <c r="E89" i="8" l="1"/>
  <c r="F90" i="8"/>
  <c r="G117" i="5"/>
  <c r="H116" i="5"/>
  <c r="E91" i="4"/>
  <c r="F91" i="4" s="1"/>
  <c r="E88" i="8" l="1"/>
  <c r="F89" i="8"/>
  <c r="G118" i="5"/>
  <c r="H117" i="5"/>
  <c r="E90" i="4"/>
  <c r="F90" i="4" s="1"/>
  <c r="E87" i="8" l="1"/>
  <c r="F88" i="8"/>
  <c r="G119" i="5"/>
  <c r="H118" i="5"/>
  <c r="E89" i="4"/>
  <c r="F89" i="4" s="1"/>
  <c r="E86" i="8" l="1"/>
  <c r="F87" i="8"/>
  <c r="H119" i="5"/>
  <c r="G120" i="5"/>
  <c r="E88" i="4"/>
  <c r="F88" i="4" s="1"/>
  <c r="E85" i="8" l="1"/>
  <c r="F86" i="8"/>
  <c r="H120" i="5"/>
  <c r="G121" i="5"/>
  <c r="E87" i="4"/>
  <c r="F87" i="4" s="1"/>
  <c r="E84" i="8" l="1"/>
  <c r="F85" i="8"/>
  <c r="H121" i="5"/>
  <c r="G122" i="5"/>
  <c r="E86" i="4"/>
  <c r="F86" i="4" s="1"/>
  <c r="E83" i="8" l="1"/>
  <c r="F84" i="8"/>
  <c r="H122" i="5"/>
  <c r="G123" i="5"/>
  <c r="E85" i="4"/>
  <c r="F85" i="4" s="1"/>
  <c r="E82" i="8" l="1"/>
  <c r="F83" i="8"/>
  <c r="H123" i="5"/>
  <c r="G124" i="5"/>
  <c r="E84" i="4"/>
  <c r="F84" i="4" s="1"/>
  <c r="E81" i="8" l="1"/>
  <c r="F82" i="8"/>
  <c r="H124" i="5"/>
  <c r="G125" i="5"/>
  <c r="E83" i="4"/>
  <c r="F83" i="4" s="1"/>
  <c r="E80" i="8" l="1"/>
  <c r="F81" i="8"/>
  <c r="H125" i="5"/>
  <c r="G126" i="5"/>
  <c r="E82" i="4"/>
  <c r="F82" i="4" s="1"/>
  <c r="E79" i="8" l="1"/>
  <c r="F80" i="8"/>
  <c r="H126" i="5"/>
  <c r="G127" i="5"/>
  <c r="E81" i="4"/>
  <c r="F81" i="4" s="1"/>
  <c r="E78" i="8" l="1"/>
  <c r="F79" i="8"/>
  <c r="H127" i="5"/>
  <c r="G128" i="5"/>
  <c r="E80" i="4"/>
  <c r="F80" i="4" s="1"/>
  <c r="E77" i="8" l="1"/>
  <c r="F78" i="8"/>
  <c r="H128" i="5"/>
  <c r="G129" i="5"/>
  <c r="E79" i="4"/>
  <c r="F79" i="4" s="1"/>
  <c r="E76" i="8" l="1"/>
  <c r="F77" i="8"/>
  <c r="H129" i="5"/>
  <c r="G130" i="5"/>
  <c r="H130" i="5" s="1"/>
  <c r="E78" i="4"/>
  <c r="F78" i="4" s="1"/>
  <c r="E75" i="8" l="1"/>
  <c r="F76" i="8"/>
  <c r="E77" i="4"/>
  <c r="F77" i="4" s="1"/>
  <c r="E74" i="8" l="1"/>
  <c r="F75" i="8"/>
  <c r="E76" i="4"/>
  <c r="F76" i="4" s="1"/>
  <c r="E73" i="8" l="1"/>
  <c r="F74" i="8"/>
  <c r="E75" i="4"/>
  <c r="F75" i="4" s="1"/>
  <c r="E72" i="8" l="1"/>
  <c r="F73" i="8"/>
  <c r="E74" i="4"/>
  <c r="F74" i="4" s="1"/>
  <c r="E71" i="8" l="1"/>
  <c r="F72" i="8"/>
  <c r="E73" i="4"/>
  <c r="F73" i="4" s="1"/>
  <c r="E70" i="8" l="1"/>
  <c r="F71" i="8"/>
  <c r="E72" i="4"/>
  <c r="F72" i="4" s="1"/>
  <c r="E69" i="8" l="1"/>
  <c r="F70" i="8"/>
  <c r="E71" i="4"/>
  <c r="F71" i="4" s="1"/>
  <c r="E68" i="8" l="1"/>
  <c r="F69" i="8"/>
  <c r="E70" i="4"/>
  <c r="F70" i="4" s="1"/>
  <c r="E67" i="8" l="1"/>
  <c r="F68" i="8"/>
  <c r="E69" i="4"/>
  <c r="F69" i="4" s="1"/>
  <c r="E66" i="8" l="1"/>
  <c r="F67" i="8"/>
  <c r="E68" i="4"/>
  <c r="F68" i="4" s="1"/>
  <c r="E65" i="8" l="1"/>
  <c r="F66" i="8"/>
  <c r="E67" i="4"/>
  <c r="F67" i="4" s="1"/>
  <c r="E64" i="8" l="1"/>
  <c r="F65" i="8"/>
  <c r="E66" i="4"/>
  <c r="F66" i="4" s="1"/>
  <c r="E63" i="8" l="1"/>
  <c r="F64" i="8"/>
  <c r="E65" i="4"/>
  <c r="F65" i="4" s="1"/>
  <c r="E62" i="8" l="1"/>
  <c r="F63" i="8"/>
  <c r="E64" i="4"/>
  <c r="F64" i="4" s="1"/>
  <c r="E61" i="8" l="1"/>
  <c r="F62" i="8"/>
  <c r="E63" i="4"/>
  <c r="F63" i="4" s="1"/>
  <c r="E60" i="8" l="1"/>
  <c r="F61" i="8"/>
  <c r="E62" i="4"/>
  <c r="F62" i="4" s="1"/>
  <c r="E59" i="8" l="1"/>
  <c r="F60" i="8"/>
  <c r="E61" i="4"/>
  <c r="F61" i="4" s="1"/>
  <c r="E58" i="8" l="1"/>
  <c r="F59" i="8"/>
  <c r="E60" i="4"/>
  <c r="F60" i="4" s="1"/>
  <c r="E57" i="8" l="1"/>
  <c r="F58" i="8"/>
  <c r="E59" i="4"/>
  <c r="F59" i="4" s="1"/>
  <c r="E56" i="8" l="1"/>
  <c r="F57" i="8"/>
  <c r="E58" i="4"/>
  <c r="F58" i="4" s="1"/>
  <c r="E55" i="8" l="1"/>
  <c r="F56" i="8"/>
  <c r="E57" i="4"/>
  <c r="F57" i="4" s="1"/>
  <c r="E54" i="8" l="1"/>
  <c r="F55" i="8"/>
  <c r="E56" i="4"/>
  <c r="F56" i="4" s="1"/>
  <c r="E53" i="8" l="1"/>
  <c r="F54" i="8"/>
  <c r="E55" i="4"/>
  <c r="F55" i="4" s="1"/>
  <c r="E52" i="8" l="1"/>
  <c r="F53" i="8"/>
  <c r="E54" i="4"/>
  <c r="F54" i="4" s="1"/>
  <c r="E51" i="8" l="1"/>
  <c r="F52" i="8"/>
  <c r="E53" i="4"/>
  <c r="F53" i="4" s="1"/>
  <c r="E50" i="8" l="1"/>
  <c r="F51" i="8"/>
  <c r="E52" i="4"/>
  <c r="F52" i="4" s="1"/>
  <c r="E49" i="8" l="1"/>
  <c r="F50" i="8"/>
  <c r="E51" i="4"/>
  <c r="F51" i="4" s="1"/>
  <c r="E48" i="8" l="1"/>
  <c r="F49" i="8"/>
  <c r="E50" i="4"/>
  <c r="F50" i="4" s="1"/>
  <c r="E47" i="8" l="1"/>
  <c r="F48" i="8"/>
  <c r="E49" i="4"/>
  <c r="F49" i="4" s="1"/>
  <c r="E46" i="8" l="1"/>
  <c r="F47" i="8"/>
  <c r="E48" i="4"/>
  <c r="F48" i="4" s="1"/>
  <c r="E45" i="8" l="1"/>
  <c r="F46" i="8"/>
  <c r="E47" i="4"/>
  <c r="F47" i="4" s="1"/>
  <c r="E44" i="8" l="1"/>
  <c r="F45" i="8"/>
  <c r="E46" i="4"/>
  <c r="F46" i="4" s="1"/>
  <c r="E43" i="8" l="1"/>
  <c r="F44" i="8"/>
  <c r="E45" i="4"/>
  <c r="F45" i="4" s="1"/>
  <c r="E42" i="8" l="1"/>
  <c r="F43" i="8"/>
  <c r="E44" i="4"/>
  <c r="F44" i="4" s="1"/>
  <c r="E41" i="8" l="1"/>
  <c r="F42" i="8"/>
  <c r="E43" i="4"/>
  <c r="F43" i="4" s="1"/>
  <c r="E40" i="8" l="1"/>
  <c r="F41" i="8"/>
  <c r="E42" i="4"/>
  <c r="F42" i="4" s="1"/>
  <c r="E39" i="8" l="1"/>
  <c r="F40" i="8"/>
  <c r="E41" i="4"/>
  <c r="F41" i="4" s="1"/>
  <c r="E38" i="8" l="1"/>
  <c r="F39" i="8"/>
  <c r="E40" i="4"/>
  <c r="F40" i="4" s="1"/>
  <c r="E37" i="8" l="1"/>
  <c r="F38" i="8"/>
  <c r="E39" i="4"/>
  <c r="F39" i="4" s="1"/>
  <c r="E36" i="8" l="1"/>
  <c r="F37" i="8"/>
  <c r="E38" i="4"/>
  <c r="F38" i="4" s="1"/>
  <c r="E35" i="8" l="1"/>
  <c r="F36" i="8"/>
  <c r="E37" i="4"/>
  <c r="F37" i="4" s="1"/>
  <c r="E34" i="8" l="1"/>
  <c r="F35" i="8"/>
  <c r="E36" i="4"/>
  <c r="F36" i="4" s="1"/>
  <c r="E33" i="8" l="1"/>
  <c r="F34" i="8"/>
  <c r="E35" i="4"/>
  <c r="F35" i="4" s="1"/>
  <c r="E32" i="8" l="1"/>
  <c r="F33" i="8"/>
  <c r="E34" i="4"/>
  <c r="F34" i="4" s="1"/>
  <c r="E31" i="8" l="1"/>
  <c r="F32" i="8"/>
  <c r="E33" i="4"/>
  <c r="F33" i="4" s="1"/>
  <c r="E30" i="8" l="1"/>
  <c r="F31" i="8"/>
  <c r="E32" i="4"/>
  <c r="F32" i="4" s="1"/>
  <c r="E29" i="8" l="1"/>
  <c r="F30" i="8"/>
  <c r="E31" i="4"/>
  <c r="F31" i="4" s="1"/>
  <c r="E28" i="8" l="1"/>
  <c r="F29" i="8"/>
  <c r="E30" i="4"/>
  <c r="F30" i="4" s="1"/>
  <c r="E27" i="8" l="1"/>
  <c r="F28" i="8"/>
  <c r="E29" i="4"/>
  <c r="F29" i="4" s="1"/>
  <c r="E26" i="8" l="1"/>
  <c r="F27" i="8"/>
  <c r="E28" i="4"/>
  <c r="F28" i="4" s="1"/>
  <c r="E25" i="8" l="1"/>
  <c r="F26" i="8"/>
  <c r="E27" i="4"/>
  <c r="F27" i="4" s="1"/>
  <c r="E24" i="8" l="1"/>
  <c r="F25" i="8"/>
  <c r="E26" i="4"/>
  <c r="F26" i="4" s="1"/>
  <c r="E23" i="8" l="1"/>
  <c r="F24" i="8"/>
  <c r="E25" i="4"/>
  <c r="F25" i="4" s="1"/>
  <c r="E22" i="8" l="1"/>
  <c r="F23" i="8"/>
  <c r="E24" i="4"/>
  <c r="F24" i="4" s="1"/>
  <c r="E21" i="8" l="1"/>
  <c r="F22" i="8"/>
  <c r="E23" i="4"/>
  <c r="F23" i="4" s="1"/>
  <c r="E20" i="8" l="1"/>
  <c r="F21" i="8"/>
  <c r="E22" i="4"/>
  <c r="F22" i="4" s="1"/>
  <c r="E19" i="8" l="1"/>
  <c r="F20" i="8"/>
  <c r="E21" i="4"/>
  <c r="F21" i="4" s="1"/>
  <c r="E18" i="8" l="1"/>
  <c r="F19" i="8"/>
  <c r="E20" i="4"/>
  <c r="F20" i="4" s="1"/>
  <c r="E17" i="8" l="1"/>
  <c r="F18" i="8"/>
  <c r="E19" i="4"/>
  <c r="F19" i="4" s="1"/>
  <c r="E16" i="8" l="1"/>
  <c r="F17" i="8"/>
  <c r="E18" i="4"/>
  <c r="F18" i="4" s="1"/>
  <c r="E15" i="8" l="1"/>
  <c r="F16" i="8"/>
  <c r="E17" i="4"/>
  <c r="F17" i="4" s="1"/>
  <c r="E14" i="8" l="1"/>
  <c r="F15" i="8"/>
  <c r="E16" i="4"/>
  <c r="F16" i="4" s="1"/>
  <c r="E13" i="8" l="1"/>
  <c r="F14" i="8"/>
  <c r="E15" i="4"/>
  <c r="F15" i="4" s="1"/>
  <c r="E12" i="8" l="1"/>
  <c r="F13" i="8"/>
  <c r="E14" i="4"/>
  <c r="F14" i="4" s="1"/>
  <c r="E11" i="8" l="1"/>
  <c r="F12" i="8"/>
  <c r="E13" i="4"/>
  <c r="F13" i="4" s="1"/>
  <c r="E10" i="8" l="1"/>
  <c r="F11" i="8"/>
  <c r="E12" i="4"/>
  <c r="F12" i="4" s="1"/>
  <c r="E9" i="8" l="1"/>
  <c r="F10" i="8"/>
  <c r="E11" i="4"/>
  <c r="F11" i="4" s="1"/>
  <c r="E8" i="8" l="1"/>
  <c r="F9" i="8"/>
  <c r="E10" i="4"/>
  <c r="F10" i="4" s="1"/>
  <c r="E7" i="8" l="1"/>
  <c r="F8" i="8"/>
  <c r="E9" i="4"/>
  <c r="F9" i="4" s="1"/>
  <c r="E6" i="8" l="1"/>
  <c r="F7" i="8"/>
  <c r="E8" i="4"/>
  <c r="F8" i="4" s="1"/>
  <c r="E5" i="8" l="1"/>
  <c r="F6" i="8"/>
  <c r="E7" i="4"/>
  <c r="F7" i="4" s="1"/>
  <c r="E4" i="8" l="1"/>
  <c r="F5" i="8"/>
  <c r="E6" i="4"/>
  <c r="F6" i="4" s="1"/>
  <c r="E3" i="8" l="1"/>
  <c r="F3" i="8" s="1"/>
  <c r="H3" i="8" s="1"/>
  <c r="F4" i="8"/>
  <c r="E5" i="4"/>
  <c r="G4" i="8" l="1"/>
  <c r="G5" i="8" s="1"/>
  <c r="E4" i="4"/>
  <c r="F4" i="4" s="1"/>
  <c r="F5" i="4"/>
  <c r="G6" i="8" l="1"/>
  <c r="H5" i="8"/>
  <c r="H4" i="8"/>
  <c r="E3" i="4"/>
  <c r="F3" i="4" s="1"/>
  <c r="H3" i="4" s="1"/>
  <c r="G4" i="4"/>
  <c r="H4" i="4" s="1"/>
  <c r="G7" i="8" l="1"/>
  <c r="H6" i="8"/>
  <c r="G5" i="4"/>
  <c r="H5" i="4" s="1"/>
  <c r="G8" i="8" l="1"/>
  <c r="H7" i="8"/>
  <c r="G6" i="4"/>
  <c r="H6" i="4" s="1"/>
  <c r="G9" i="8" l="1"/>
  <c r="H8" i="8"/>
  <c r="G7" i="4"/>
  <c r="H7" i="4" s="1"/>
  <c r="G10" i="8" l="1"/>
  <c r="H9" i="8"/>
  <c r="G8" i="4"/>
  <c r="H8" i="4" s="1"/>
  <c r="G11" i="8" l="1"/>
  <c r="H10" i="8"/>
  <c r="G9" i="4"/>
  <c r="H9" i="4" s="1"/>
  <c r="G12" i="8" l="1"/>
  <c r="H11" i="8"/>
  <c r="G10" i="4"/>
  <c r="H10" i="4" s="1"/>
  <c r="G13" i="8" l="1"/>
  <c r="H12" i="8"/>
  <c r="G11" i="4"/>
  <c r="H11" i="4" s="1"/>
  <c r="G14" i="8" l="1"/>
  <c r="H13" i="8"/>
  <c r="G12" i="4"/>
  <c r="H12" i="4" s="1"/>
  <c r="G15" i="8" l="1"/>
  <c r="H14" i="8"/>
  <c r="G13" i="4"/>
  <c r="H13" i="4" s="1"/>
  <c r="G16" i="8" l="1"/>
  <c r="H15" i="8"/>
  <c r="G14" i="4"/>
  <c r="H14" i="4" s="1"/>
  <c r="G17" i="8" l="1"/>
  <c r="H16" i="8"/>
  <c r="G15" i="4"/>
  <c r="H15" i="4" s="1"/>
  <c r="G18" i="8" l="1"/>
  <c r="H17" i="8"/>
  <c r="G16" i="4"/>
  <c r="H16" i="4" s="1"/>
  <c r="G19" i="8" l="1"/>
  <c r="H18" i="8"/>
  <c r="G17" i="4"/>
  <c r="H17" i="4" s="1"/>
  <c r="G20" i="8" l="1"/>
  <c r="H19" i="8"/>
  <c r="G18" i="4"/>
  <c r="H18" i="4" s="1"/>
  <c r="G21" i="8" l="1"/>
  <c r="H20" i="8"/>
  <c r="G19" i="4"/>
  <c r="H19" i="4" s="1"/>
  <c r="G22" i="8" l="1"/>
  <c r="H21" i="8"/>
  <c r="G20" i="4"/>
  <c r="H20" i="4" s="1"/>
  <c r="G23" i="8" l="1"/>
  <c r="H22" i="8"/>
  <c r="G21" i="4"/>
  <c r="H21" i="4" s="1"/>
  <c r="G24" i="8" l="1"/>
  <c r="H23" i="8"/>
  <c r="G22" i="4"/>
  <c r="H22" i="4" s="1"/>
  <c r="G25" i="8" l="1"/>
  <c r="H24" i="8"/>
  <c r="G23" i="4"/>
  <c r="H23" i="4" s="1"/>
  <c r="G26" i="8" l="1"/>
  <c r="H25" i="8"/>
  <c r="G24" i="4"/>
  <c r="H24" i="4" s="1"/>
  <c r="G27" i="8" l="1"/>
  <c r="H26" i="8"/>
  <c r="G25" i="4"/>
  <c r="H25" i="4" s="1"/>
  <c r="G28" i="8" l="1"/>
  <c r="H27" i="8"/>
  <c r="G26" i="4"/>
  <c r="H26" i="4" s="1"/>
  <c r="G29" i="8" l="1"/>
  <c r="H28" i="8"/>
  <c r="G27" i="4"/>
  <c r="H27" i="4" s="1"/>
  <c r="G30" i="8" l="1"/>
  <c r="H29" i="8"/>
  <c r="G28" i="4"/>
  <c r="H28" i="4" s="1"/>
  <c r="G31" i="8" l="1"/>
  <c r="H30" i="8"/>
  <c r="G29" i="4"/>
  <c r="H29" i="4" s="1"/>
  <c r="G32" i="8" l="1"/>
  <c r="H31" i="8"/>
  <c r="G30" i="4"/>
  <c r="H30" i="4" s="1"/>
  <c r="G33" i="8" l="1"/>
  <c r="H32" i="8"/>
  <c r="G31" i="4"/>
  <c r="H31" i="4" s="1"/>
  <c r="G34" i="8" l="1"/>
  <c r="H33" i="8"/>
  <c r="G32" i="4"/>
  <c r="H32" i="4" s="1"/>
  <c r="G35" i="8" l="1"/>
  <c r="H34" i="8"/>
  <c r="G33" i="4"/>
  <c r="H33" i="4" s="1"/>
  <c r="G36" i="8" l="1"/>
  <c r="H35" i="8"/>
  <c r="G34" i="4"/>
  <c r="H34" i="4" s="1"/>
  <c r="G37" i="8" l="1"/>
  <c r="H36" i="8"/>
  <c r="G35" i="4"/>
  <c r="H35" i="4" s="1"/>
  <c r="G38" i="8" l="1"/>
  <c r="H37" i="8"/>
  <c r="G36" i="4"/>
  <c r="H36" i="4" s="1"/>
  <c r="G39" i="8" l="1"/>
  <c r="H38" i="8"/>
  <c r="G37" i="4"/>
  <c r="H37" i="4" s="1"/>
  <c r="G40" i="8" l="1"/>
  <c r="H39" i="8"/>
  <c r="G38" i="4"/>
  <c r="H38" i="4" s="1"/>
  <c r="G41" i="8" l="1"/>
  <c r="H40" i="8"/>
  <c r="G39" i="4"/>
  <c r="H39" i="4" s="1"/>
  <c r="G42" i="8" l="1"/>
  <c r="H41" i="8"/>
  <c r="G40" i="4"/>
  <c r="H40" i="4" s="1"/>
  <c r="G43" i="8" l="1"/>
  <c r="H42" i="8"/>
  <c r="G41" i="4"/>
  <c r="H41" i="4" s="1"/>
  <c r="G44" i="8" l="1"/>
  <c r="H43" i="8"/>
  <c r="G42" i="4"/>
  <c r="H42" i="4" s="1"/>
  <c r="G45" i="8" l="1"/>
  <c r="H44" i="8"/>
  <c r="G43" i="4"/>
  <c r="H43" i="4" s="1"/>
  <c r="G46" i="8" l="1"/>
  <c r="H45" i="8"/>
  <c r="G44" i="4"/>
  <c r="H44" i="4" s="1"/>
  <c r="G47" i="8" l="1"/>
  <c r="H46" i="8"/>
  <c r="G45" i="4"/>
  <c r="H45" i="4" s="1"/>
  <c r="G48" i="8" l="1"/>
  <c r="H47" i="8"/>
  <c r="G46" i="4"/>
  <c r="H46" i="4" s="1"/>
  <c r="G49" i="8" l="1"/>
  <c r="H48" i="8"/>
  <c r="G47" i="4"/>
  <c r="H47" i="4" s="1"/>
  <c r="G50" i="8" l="1"/>
  <c r="H49" i="8"/>
  <c r="G48" i="4"/>
  <c r="H48" i="4" s="1"/>
  <c r="G51" i="8" l="1"/>
  <c r="H50" i="8"/>
  <c r="G49" i="4"/>
  <c r="H49" i="4" s="1"/>
  <c r="G52" i="8" l="1"/>
  <c r="H51" i="8"/>
  <c r="G50" i="4"/>
  <c r="H50" i="4" s="1"/>
  <c r="G53" i="8" l="1"/>
  <c r="H52" i="8"/>
  <c r="G51" i="4"/>
  <c r="H51" i="4" s="1"/>
  <c r="G54" i="8" l="1"/>
  <c r="H53" i="8"/>
  <c r="G52" i="4"/>
  <c r="H52" i="4" s="1"/>
  <c r="G55" i="8" l="1"/>
  <c r="H54" i="8"/>
  <c r="G53" i="4"/>
  <c r="H53" i="4" s="1"/>
  <c r="G56" i="8" l="1"/>
  <c r="H55" i="8"/>
  <c r="G54" i="4"/>
  <c r="H54" i="4" s="1"/>
  <c r="G57" i="8" l="1"/>
  <c r="H56" i="8"/>
  <c r="G55" i="4"/>
  <c r="H55" i="4" s="1"/>
  <c r="G58" i="8" l="1"/>
  <c r="H57" i="8"/>
  <c r="G56" i="4"/>
  <c r="H56" i="4" s="1"/>
  <c r="G59" i="8" l="1"/>
  <c r="H58" i="8"/>
  <c r="G57" i="4"/>
  <c r="H57" i="4" s="1"/>
  <c r="G60" i="8" l="1"/>
  <c r="H59" i="8"/>
  <c r="G58" i="4"/>
  <c r="H58" i="4" s="1"/>
  <c r="G61" i="8" l="1"/>
  <c r="H60" i="8"/>
  <c r="G59" i="4"/>
  <c r="H59" i="4" s="1"/>
  <c r="G62" i="8" l="1"/>
  <c r="H61" i="8"/>
  <c r="G60" i="4"/>
  <c r="H60" i="4" s="1"/>
  <c r="G63" i="8" l="1"/>
  <c r="H62" i="8"/>
  <c r="G61" i="4"/>
  <c r="H61" i="4" s="1"/>
  <c r="G64" i="8" l="1"/>
  <c r="H63" i="8"/>
  <c r="G62" i="4"/>
  <c r="H62" i="4" s="1"/>
  <c r="G65" i="8" l="1"/>
  <c r="H64" i="8"/>
  <c r="G63" i="4"/>
  <c r="H63" i="4" s="1"/>
  <c r="G66" i="8" l="1"/>
  <c r="H65" i="8"/>
  <c r="G64" i="4"/>
  <c r="H64" i="4" s="1"/>
  <c r="G67" i="8" l="1"/>
  <c r="H66" i="8"/>
  <c r="G65" i="4"/>
  <c r="H65" i="4" s="1"/>
  <c r="G68" i="8" l="1"/>
  <c r="H67" i="8"/>
  <c r="G66" i="4"/>
  <c r="H66" i="4" s="1"/>
  <c r="G69" i="8" l="1"/>
  <c r="H68" i="8"/>
  <c r="G67" i="4"/>
  <c r="H67" i="4" s="1"/>
  <c r="G70" i="8" l="1"/>
  <c r="H69" i="8"/>
  <c r="G68" i="4"/>
  <c r="H68" i="4" s="1"/>
  <c r="G71" i="8" l="1"/>
  <c r="H70" i="8"/>
  <c r="G69" i="4"/>
  <c r="H69" i="4" s="1"/>
  <c r="G72" i="8" l="1"/>
  <c r="H71" i="8"/>
  <c r="G70" i="4"/>
  <c r="H70" i="4" s="1"/>
  <c r="G73" i="8" l="1"/>
  <c r="H72" i="8"/>
  <c r="G71" i="4"/>
  <c r="H71" i="4" s="1"/>
  <c r="G74" i="8" l="1"/>
  <c r="H73" i="8"/>
  <c r="G72" i="4"/>
  <c r="H72" i="4" s="1"/>
  <c r="G75" i="8" l="1"/>
  <c r="H74" i="8"/>
  <c r="G73" i="4"/>
  <c r="H73" i="4" s="1"/>
  <c r="G76" i="8" l="1"/>
  <c r="H75" i="8"/>
  <c r="G74" i="4"/>
  <c r="H74" i="4" s="1"/>
  <c r="G77" i="8" l="1"/>
  <c r="H76" i="8"/>
  <c r="G75" i="4"/>
  <c r="H75" i="4" s="1"/>
  <c r="G78" i="8" l="1"/>
  <c r="H77" i="8"/>
  <c r="G76" i="4"/>
  <c r="H76" i="4" s="1"/>
  <c r="G79" i="8" l="1"/>
  <c r="H78" i="8"/>
  <c r="G77" i="4"/>
  <c r="H77" i="4" s="1"/>
  <c r="G80" i="8" l="1"/>
  <c r="H79" i="8"/>
  <c r="G78" i="4"/>
  <c r="H78" i="4" s="1"/>
  <c r="G81" i="8" l="1"/>
  <c r="H80" i="8"/>
  <c r="G79" i="4"/>
  <c r="H79" i="4" s="1"/>
  <c r="G82" i="8" l="1"/>
  <c r="H81" i="8"/>
  <c r="G80" i="4"/>
  <c r="H80" i="4" s="1"/>
  <c r="G83" i="8" l="1"/>
  <c r="H82" i="8"/>
  <c r="G81" i="4"/>
  <c r="H81" i="4" s="1"/>
  <c r="G84" i="8" l="1"/>
  <c r="H83" i="8"/>
  <c r="G82" i="4"/>
  <c r="H82" i="4" s="1"/>
  <c r="G85" i="8" l="1"/>
  <c r="H84" i="8"/>
  <c r="G83" i="4"/>
  <c r="H83" i="4" s="1"/>
  <c r="G86" i="8" l="1"/>
  <c r="H85" i="8"/>
  <c r="G84" i="4"/>
  <c r="H84" i="4" s="1"/>
  <c r="G87" i="8" l="1"/>
  <c r="H86" i="8"/>
  <c r="G85" i="4"/>
  <c r="H85" i="4" s="1"/>
  <c r="G88" i="8" l="1"/>
  <c r="H87" i="8"/>
  <c r="G86" i="4"/>
  <c r="H86" i="4" s="1"/>
  <c r="G89" i="8" l="1"/>
  <c r="H88" i="8"/>
  <c r="G87" i="4"/>
  <c r="H87" i="4" s="1"/>
  <c r="G90" i="8" l="1"/>
  <c r="H89" i="8"/>
  <c r="G88" i="4"/>
  <c r="H88" i="4" s="1"/>
  <c r="G91" i="8" l="1"/>
  <c r="H90" i="8"/>
  <c r="G89" i="4"/>
  <c r="H89" i="4" s="1"/>
  <c r="G92" i="8" l="1"/>
  <c r="H91" i="8"/>
  <c r="G90" i="4"/>
  <c r="H90" i="4" s="1"/>
  <c r="G93" i="8" l="1"/>
  <c r="H92" i="8"/>
  <c r="G91" i="4"/>
  <c r="H91" i="4" s="1"/>
  <c r="G94" i="8" l="1"/>
  <c r="H93" i="8"/>
  <c r="G92" i="4"/>
  <c r="H92" i="4" s="1"/>
  <c r="G95" i="8" l="1"/>
  <c r="H94" i="8"/>
  <c r="G93" i="4"/>
  <c r="H93" i="4" s="1"/>
  <c r="G96" i="8" l="1"/>
  <c r="H95" i="8"/>
  <c r="G94" i="4"/>
  <c r="H94" i="4" s="1"/>
  <c r="G97" i="8" l="1"/>
  <c r="H96" i="8"/>
  <c r="G95" i="4"/>
  <c r="H95" i="4" s="1"/>
  <c r="G98" i="8" l="1"/>
  <c r="H97" i="8"/>
  <c r="G96" i="4"/>
  <c r="H96" i="4" s="1"/>
  <c r="G99" i="8" l="1"/>
  <c r="H98" i="8"/>
  <c r="G97" i="4"/>
  <c r="H97" i="4" s="1"/>
  <c r="G100" i="8" l="1"/>
  <c r="H99" i="8"/>
  <c r="G98" i="4"/>
  <c r="H98" i="4" s="1"/>
  <c r="G101" i="8" l="1"/>
  <c r="H100" i="8"/>
  <c r="G99" i="4"/>
  <c r="H99" i="4" s="1"/>
  <c r="G102" i="8" l="1"/>
  <c r="H101" i="8"/>
  <c r="G100" i="4"/>
  <c r="H100" i="4" s="1"/>
  <c r="G103" i="8" l="1"/>
  <c r="H102" i="8"/>
  <c r="G101" i="4"/>
  <c r="H101" i="4" s="1"/>
  <c r="G104" i="8" l="1"/>
  <c r="H103" i="8"/>
  <c r="G102" i="4"/>
  <c r="H102" i="4" s="1"/>
  <c r="G105" i="8" l="1"/>
  <c r="H104" i="8"/>
  <c r="G103" i="4"/>
  <c r="H103" i="4" s="1"/>
  <c r="G106" i="8" l="1"/>
  <c r="H105" i="8"/>
  <c r="G104" i="4"/>
  <c r="H104" i="4" s="1"/>
  <c r="G107" i="8" l="1"/>
  <c r="H106" i="8"/>
  <c r="G105" i="4"/>
  <c r="H105" i="4" s="1"/>
  <c r="G108" i="8" l="1"/>
  <c r="H107" i="8"/>
  <c r="G106" i="4"/>
  <c r="H106" i="4" s="1"/>
  <c r="G109" i="8" l="1"/>
  <c r="H108" i="8"/>
  <c r="G107" i="4"/>
  <c r="H107" i="4" s="1"/>
  <c r="G110" i="8" l="1"/>
  <c r="H109" i="8"/>
  <c r="G108" i="4"/>
  <c r="H108" i="4" s="1"/>
  <c r="G111" i="8" l="1"/>
  <c r="H110" i="8"/>
  <c r="G109" i="4"/>
  <c r="H109" i="4" s="1"/>
  <c r="G112" i="8" l="1"/>
  <c r="H111" i="8"/>
  <c r="G110" i="4"/>
  <c r="H110" i="4" s="1"/>
  <c r="G113" i="8" l="1"/>
  <c r="H112" i="8"/>
  <c r="G111" i="4"/>
  <c r="H111" i="4" s="1"/>
  <c r="G114" i="8" l="1"/>
  <c r="H113" i="8"/>
  <c r="G112" i="4"/>
  <c r="H112" i="4" s="1"/>
  <c r="G115" i="8" l="1"/>
  <c r="H114" i="8"/>
  <c r="G113" i="4"/>
  <c r="H113" i="4" s="1"/>
  <c r="G116" i="8" l="1"/>
  <c r="H115" i="8"/>
  <c r="G114" i="4"/>
  <c r="H114" i="4" s="1"/>
  <c r="G117" i="8" l="1"/>
  <c r="H116" i="8"/>
  <c r="G115" i="4"/>
  <c r="H115" i="4" s="1"/>
  <c r="G118" i="8" l="1"/>
  <c r="H117" i="8"/>
  <c r="G116" i="4"/>
  <c r="H116" i="4" s="1"/>
  <c r="G119" i="8" l="1"/>
  <c r="H118" i="8"/>
  <c r="G117" i="4"/>
  <c r="H117" i="4" s="1"/>
  <c r="G120" i="8" l="1"/>
  <c r="H119" i="8"/>
  <c r="G118" i="4"/>
  <c r="H118" i="4" s="1"/>
  <c r="G121" i="8" l="1"/>
  <c r="H120" i="8"/>
  <c r="G119" i="4"/>
  <c r="H119" i="4" s="1"/>
  <c r="G122" i="8" l="1"/>
  <c r="H121" i="8"/>
  <c r="G120" i="4"/>
  <c r="H120" i="4" s="1"/>
  <c r="G123" i="8" l="1"/>
  <c r="H122" i="8"/>
  <c r="G121" i="4"/>
  <c r="H121" i="4" s="1"/>
  <c r="G124" i="8" l="1"/>
  <c r="H123" i="8"/>
  <c r="G122" i="4"/>
  <c r="H122" i="4" s="1"/>
  <c r="G125" i="8" l="1"/>
  <c r="H124" i="8"/>
  <c r="G123" i="4"/>
  <c r="H123" i="4" s="1"/>
  <c r="G126" i="8" l="1"/>
  <c r="H125" i="8"/>
  <c r="G124" i="4"/>
  <c r="H124" i="4" s="1"/>
  <c r="G127" i="8" l="1"/>
  <c r="H126" i="8"/>
  <c r="G125" i="4"/>
  <c r="H125" i="4" s="1"/>
  <c r="G128" i="8" l="1"/>
  <c r="H127" i="8"/>
  <c r="G126" i="4"/>
  <c r="H126" i="4" s="1"/>
  <c r="G129" i="8" l="1"/>
  <c r="H128" i="8"/>
  <c r="G127" i="4"/>
  <c r="H127" i="4" s="1"/>
  <c r="G130" i="8" l="1"/>
  <c r="H129" i="8"/>
  <c r="G128" i="4"/>
  <c r="H128" i="4" s="1"/>
  <c r="G131" i="8" l="1"/>
  <c r="H130" i="8"/>
  <c r="G129" i="4"/>
  <c r="H129" i="4" s="1"/>
  <c r="G132" i="8" l="1"/>
  <c r="H131" i="8"/>
  <c r="G130" i="4"/>
  <c r="H130" i="4" s="1"/>
  <c r="G133" i="8" l="1"/>
  <c r="H132" i="8"/>
  <c r="G131" i="4"/>
  <c r="H131" i="4" s="1"/>
  <c r="G134" i="8" l="1"/>
  <c r="H133" i="8"/>
  <c r="G132" i="4"/>
  <c r="H132" i="4" s="1"/>
  <c r="G135" i="8" l="1"/>
  <c r="H134" i="8"/>
  <c r="G133" i="4"/>
  <c r="H133" i="4" s="1"/>
  <c r="G136" i="8" l="1"/>
  <c r="H135" i="8"/>
  <c r="G134" i="4"/>
  <c r="H134" i="4" s="1"/>
  <c r="G137" i="8" l="1"/>
  <c r="H136" i="8"/>
  <c r="G135" i="4"/>
  <c r="H135" i="4" s="1"/>
  <c r="G138" i="8" l="1"/>
  <c r="H137" i="8"/>
  <c r="G136" i="4"/>
  <c r="H136" i="4" s="1"/>
  <c r="G139" i="8" l="1"/>
  <c r="H138" i="8"/>
  <c r="G137" i="4"/>
  <c r="H137" i="4" s="1"/>
  <c r="G140" i="8" l="1"/>
  <c r="H139" i="8"/>
  <c r="G138" i="4"/>
  <c r="H138" i="4" s="1"/>
  <c r="G141" i="8" l="1"/>
  <c r="H140" i="8"/>
  <c r="G139" i="4"/>
  <c r="H139" i="4" s="1"/>
  <c r="G142" i="8" l="1"/>
  <c r="H141" i="8"/>
  <c r="G140" i="4"/>
  <c r="H140" i="4" s="1"/>
  <c r="G143" i="8" l="1"/>
  <c r="H142" i="8"/>
  <c r="G141" i="4"/>
  <c r="H141" i="4" s="1"/>
  <c r="G144" i="8" l="1"/>
  <c r="H143" i="8"/>
  <c r="G142" i="4"/>
  <c r="H142" i="4" s="1"/>
  <c r="G145" i="8" l="1"/>
  <c r="H144" i="8"/>
  <c r="G143" i="4"/>
  <c r="H143" i="4" s="1"/>
  <c r="G146" i="8" l="1"/>
  <c r="H145" i="8"/>
  <c r="G144" i="4"/>
  <c r="H144" i="4" s="1"/>
  <c r="G147" i="8" l="1"/>
  <c r="H146" i="8"/>
  <c r="G145" i="4"/>
  <c r="H145" i="4" s="1"/>
  <c r="G148" i="8" l="1"/>
  <c r="H147" i="8"/>
  <c r="G146" i="4"/>
  <c r="H146" i="4" s="1"/>
  <c r="G149" i="8" l="1"/>
  <c r="H148" i="8"/>
  <c r="G147" i="4"/>
  <c r="H147" i="4" s="1"/>
  <c r="G150" i="8" l="1"/>
  <c r="H149" i="8"/>
  <c r="G148" i="4"/>
  <c r="H148" i="4" s="1"/>
  <c r="G151" i="8" l="1"/>
  <c r="H150" i="8"/>
  <c r="G149" i="4"/>
  <c r="H149" i="4" s="1"/>
  <c r="G152" i="8" l="1"/>
  <c r="H151" i="8"/>
  <c r="G150" i="4"/>
  <c r="H150" i="4" s="1"/>
  <c r="G153" i="8" l="1"/>
  <c r="H152" i="8"/>
  <c r="G151" i="4"/>
  <c r="H151" i="4" s="1"/>
  <c r="G154" i="8" l="1"/>
  <c r="H153" i="8"/>
  <c r="G152" i="4"/>
  <c r="H152" i="4" s="1"/>
  <c r="G155" i="8" l="1"/>
  <c r="H154" i="8"/>
  <c r="G153" i="4"/>
  <c r="H153" i="4" s="1"/>
  <c r="G156" i="8" l="1"/>
  <c r="H155" i="8"/>
  <c r="G154" i="4"/>
  <c r="H154" i="4" s="1"/>
  <c r="G157" i="8" l="1"/>
  <c r="H156" i="8"/>
  <c r="G155" i="4"/>
  <c r="H155" i="4" s="1"/>
  <c r="G158" i="8" l="1"/>
  <c r="H157" i="8"/>
  <c r="G156" i="4"/>
  <c r="H156" i="4" s="1"/>
  <c r="G159" i="8" l="1"/>
  <c r="H158" i="8"/>
  <c r="G157" i="4"/>
  <c r="H157" i="4" s="1"/>
  <c r="G160" i="8" l="1"/>
  <c r="H159" i="8"/>
  <c r="G158" i="4"/>
  <c r="H158" i="4" s="1"/>
  <c r="G161" i="8" l="1"/>
  <c r="H160" i="8"/>
  <c r="G159" i="4"/>
  <c r="H159" i="4" s="1"/>
  <c r="G162" i="8" l="1"/>
  <c r="H161" i="8"/>
  <c r="G160" i="4"/>
  <c r="H160" i="4" s="1"/>
  <c r="G163" i="8" l="1"/>
  <c r="H162" i="8"/>
  <c r="G161" i="4"/>
  <c r="H161" i="4" s="1"/>
  <c r="G164" i="8" l="1"/>
  <c r="H163" i="8"/>
  <c r="G162" i="4"/>
  <c r="H162" i="4" s="1"/>
  <c r="G165" i="8" l="1"/>
  <c r="H164" i="8"/>
  <c r="G163" i="4"/>
  <c r="H163" i="4" s="1"/>
  <c r="G166" i="8" l="1"/>
  <c r="H165" i="8"/>
  <c r="G164" i="4"/>
  <c r="H164" i="4" s="1"/>
  <c r="G167" i="8" l="1"/>
  <c r="H166" i="8"/>
  <c r="G165" i="4"/>
  <c r="H165" i="4" s="1"/>
  <c r="G168" i="8" l="1"/>
  <c r="H167" i="8"/>
  <c r="G166" i="4"/>
  <c r="H166" i="4" s="1"/>
  <c r="G169" i="8" l="1"/>
  <c r="H168" i="8"/>
  <c r="G167" i="4"/>
  <c r="H167" i="4" s="1"/>
  <c r="G170" i="8" l="1"/>
  <c r="H169" i="8"/>
  <c r="G168" i="4"/>
  <c r="H168" i="4" s="1"/>
  <c r="G171" i="8" l="1"/>
  <c r="H170" i="8"/>
  <c r="G169" i="4"/>
  <c r="H169" i="4" s="1"/>
  <c r="G172" i="8" l="1"/>
  <c r="H171" i="8"/>
  <c r="G170" i="4"/>
  <c r="H170" i="4" s="1"/>
  <c r="G173" i="8" l="1"/>
  <c r="H172" i="8"/>
  <c r="G171" i="4"/>
  <c r="H171" i="4" s="1"/>
  <c r="G174" i="8" l="1"/>
  <c r="H173" i="8"/>
  <c r="G172" i="4"/>
  <c r="H172" i="4" s="1"/>
  <c r="G175" i="8" l="1"/>
  <c r="H174" i="8"/>
  <c r="G173" i="4"/>
  <c r="H173" i="4" s="1"/>
  <c r="G176" i="8" l="1"/>
  <c r="H175" i="8"/>
  <c r="G174" i="4"/>
  <c r="H174" i="4" s="1"/>
  <c r="G177" i="8" l="1"/>
  <c r="H176" i="8"/>
  <c r="G175" i="4"/>
  <c r="H175" i="4" s="1"/>
  <c r="G178" i="8" l="1"/>
  <c r="H177" i="8"/>
  <c r="G176" i="4"/>
  <c r="H176" i="4" s="1"/>
  <c r="G179" i="8" l="1"/>
  <c r="H178" i="8"/>
  <c r="G177" i="4"/>
  <c r="H177" i="4" s="1"/>
  <c r="G180" i="8" l="1"/>
  <c r="H179" i="8"/>
  <c r="G178" i="4"/>
  <c r="H178" i="4" s="1"/>
  <c r="G181" i="8" l="1"/>
  <c r="H180" i="8"/>
  <c r="G179" i="4"/>
  <c r="H179" i="4" s="1"/>
  <c r="G182" i="8" l="1"/>
  <c r="H181" i="8"/>
  <c r="G180" i="4"/>
  <c r="H180" i="4" s="1"/>
  <c r="G183" i="8" l="1"/>
  <c r="H182" i="8"/>
  <c r="G181" i="4"/>
  <c r="H181" i="4" s="1"/>
  <c r="G184" i="8" l="1"/>
  <c r="H183" i="8"/>
  <c r="G182" i="4"/>
  <c r="H182" i="4" s="1"/>
  <c r="G185" i="8" l="1"/>
  <c r="H184" i="8"/>
  <c r="G183" i="4"/>
  <c r="H183" i="4" s="1"/>
  <c r="G186" i="8" l="1"/>
  <c r="H185" i="8"/>
  <c r="G184" i="4"/>
  <c r="H184" i="4" s="1"/>
  <c r="G187" i="8" l="1"/>
  <c r="H186" i="8"/>
  <c r="G185" i="4"/>
  <c r="H185" i="4" s="1"/>
  <c r="G188" i="8" l="1"/>
  <c r="H187" i="8"/>
  <c r="G186" i="4"/>
  <c r="H186" i="4" s="1"/>
  <c r="G189" i="8" l="1"/>
  <c r="H188" i="8"/>
  <c r="G187" i="4"/>
  <c r="H187" i="4" s="1"/>
  <c r="G190" i="8" l="1"/>
  <c r="H189" i="8"/>
  <c r="G188" i="4"/>
  <c r="H188" i="4" s="1"/>
  <c r="G191" i="8" l="1"/>
  <c r="H190" i="8"/>
  <c r="G189" i="4"/>
  <c r="H189" i="4" s="1"/>
  <c r="G192" i="8" l="1"/>
  <c r="H191" i="8"/>
  <c r="G190" i="4"/>
  <c r="H190" i="4" s="1"/>
  <c r="G193" i="8" l="1"/>
  <c r="H192" i="8"/>
  <c r="G191" i="4"/>
  <c r="H191" i="4" s="1"/>
  <c r="G194" i="8" l="1"/>
  <c r="H193" i="8"/>
  <c r="G192" i="4"/>
  <c r="H192" i="4" s="1"/>
  <c r="G195" i="8" l="1"/>
  <c r="H194" i="8"/>
  <c r="G193" i="4"/>
  <c r="H193" i="4" s="1"/>
  <c r="G196" i="8" l="1"/>
  <c r="H195" i="8"/>
  <c r="G194" i="4"/>
  <c r="H194" i="4" s="1"/>
  <c r="G197" i="8" l="1"/>
  <c r="H196" i="8"/>
  <c r="G195" i="4"/>
  <c r="H195" i="4" s="1"/>
  <c r="G198" i="8" l="1"/>
  <c r="H197" i="8"/>
  <c r="G196" i="4"/>
  <c r="H196" i="4" s="1"/>
  <c r="G199" i="8" l="1"/>
  <c r="H198" i="8"/>
  <c r="G197" i="4"/>
  <c r="H197" i="4" s="1"/>
  <c r="G200" i="8" l="1"/>
  <c r="H199" i="8"/>
  <c r="G198" i="4"/>
  <c r="H198" i="4" s="1"/>
  <c r="G201" i="8" l="1"/>
  <c r="H200" i="8"/>
  <c r="G199" i="4"/>
  <c r="H199" i="4" s="1"/>
  <c r="G202" i="8" l="1"/>
  <c r="H201" i="8"/>
  <c r="G200" i="4"/>
  <c r="H200" i="4" s="1"/>
  <c r="G203" i="8" l="1"/>
  <c r="H202" i="8"/>
  <c r="G201" i="4"/>
  <c r="H201" i="4" s="1"/>
  <c r="G204" i="8" l="1"/>
  <c r="H203" i="8"/>
  <c r="G202" i="4"/>
  <c r="H202" i="4" s="1"/>
  <c r="G205" i="8" l="1"/>
  <c r="H204" i="8"/>
  <c r="G203" i="4"/>
  <c r="H203" i="4" s="1"/>
  <c r="G206" i="8" l="1"/>
  <c r="H205" i="8"/>
  <c r="G204" i="4"/>
  <c r="H204" i="4" s="1"/>
  <c r="G207" i="8" l="1"/>
  <c r="H206" i="8"/>
  <c r="G205" i="4"/>
  <c r="H205" i="4" s="1"/>
  <c r="G208" i="8" l="1"/>
  <c r="H207" i="8"/>
  <c r="G206" i="4"/>
  <c r="H206" i="4" s="1"/>
  <c r="G209" i="8" l="1"/>
  <c r="H208" i="8"/>
  <c r="G207" i="4"/>
  <c r="H207" i="4" s="1"/>
  <c r="G210" i="8" l="1"/>
  <c r="H209" i="8"/>
  <c r="G208" i="4"/>
  <c r="H208" i="4" s="1"/>
  <c r="G211" i="8" l="1"/>
  <c r="H210" i="8"/>
  <c r="G209" i="4"/>
  <c r="H209" i="4" s="1"/>
  <c r="G212" i="8" l="1"/>
  <c r="H211" i="8"/>
  <c r="G210" i="4"/>
  <c r="H210" i="4" s="1"/>
  <c r="G213" i="8" l="1"/>
  <c r="H212" i="8"/>
  <c r="G211" i="4"/>
  <c r="H211" i="4" s="1"/>
  <c r="G214" i="8" l="1"/>
  <c r="H213" i="8"/>
  <c r="G212" i="4"/>
  <c r="H212" i="4" s="1"/>
  <c r="G215" i="8" l="1"/>
  <c r="H214" i="8"/>
  <c r="G213" i="4"/>
  <c r="H213" i="4" s="1"/>
  <c r="G216" i="8" l="1"/>
  <c r="H215" i="8"/>
  <c r="G214" i="4"/>
  <c r="H214" i="4" s="1"/>
  <c r="G217" i="8" l="1"/>
  <c r="H216" i="8"/>
  <c r="G215" i="4"/>
  <c r="H215" i="4" s="1"/>
  <c r="G218" i="8" l="1"/>
  <c r="H217" i="8"/>
  <c r="G216" i="4"/>
  <c r="H216" i="4" s="1"/>
  <c r="G219" i="8" l="1"/>
  <c r="H218" i="8"/>
  <c r="G217" i="4"/>
  <c r="H217" i="4" s="1"/>
  <c r="G220" i="8" l="1"/>
  <c r="H219" i="8"/>
  <c r="G218" i="4"/>
  <c r="H218" i="4" s="1"/>
  <c r="G221" i="8" l="1"/>
  <c r="H220" i="8"/>
  <c r="G219" i="4"/>
  <c r="H219" i="4" s="1"/>
  <c r="G222" i="8" l="1"/>
  <c r="H221" i="8"/>
  <c r="G220" i="4"/>
  <c r="H220" i="4" s="1"/>
  <c r="G223" i="8" l="1"/>
  <c r="H222" i="8"/>
  <c r="G221" i="4"/>
  <c r="H221" i="4" s="1"/>
  <c r="G224" i="8" l="1"/>
  <c r="H223" i="8"/>
  <c r="G222" i="4"/>
  <c r="H222" i="4" s="1"/>
  <c r="G225" i="8" l="1"/>
  <c r="H224" i="8"/>
  <c r="G223" i="4"/>
  <c r="H223" i="4" s="1"/>
  <c r="G226" i="8" l="1"/>
  <c r="H225" i="8"/>
  <c r="G224" i="4"/>
  <c r="H224" i="4" s="1"/>
  <c r="G227" i="8" l="1"/>
  <c r="H226" i="8"/>
  <c r="G225" i="4"/>
  <c r="H225" i="4" s="1"/>
  <c r="G228" i="8" l="1"/>
  <c r="H227" i="8"/>
  <c r="G226" i="4"/>
  <c r="H226" i="4" s="1"/>
  <c r="G229" i="8" l="1"/>
  <c r="H228" i="8"/>
  <c r="G227" i="4"/>
  <c r="H227" i="4" s="1"/>
  <c r="G230" i="8" l="1"/>
  <c r="H229" i="8"/>
  <c r="G228" i="4"/>
  <c r="H228" i="4" s="1"/>
  <c r="G231" i="8" l="1"/>
  <c r="H230" i="8"/>
  <c r="G229" i="4"/>
  <c r="H229" i="4" s="1"/>
  <c r="G232" i="8" l="1"/>
  <c r="H231" i="8"/>
  <c r="G230" i="4"/>
  <c r="H230" i="4" s="1"/>
  <c r="G233" i="8" l="1"/>
  <c r="H232" i="8"/>
  <c r="G231" i="4"/>
  <c r="H231" i="4" s="1"/>
  <c r="G234" i="8" l="1"/>
  <c r="H233" i="8"/>
  <c r="G232" i="4"/>
  <c r="H232" i="4" s="1"/>
  <c r="G235" i="8" l="1"/>
  <c r="H234" i="8"/>
  <c r="G233" i="4"/>
  <c r="H233" i="4" s="1"/>
  <c r="G236" i="8" l="1"/>
  <c r="H235" i="8"/>
  <c r="G234" i="4"/>
  <c r="H234" i="4" s="1"/>
  <c r="G237" i="8" l="1"/>
  <c r="H236" i="8"/>
  <c r="G235" i="4"/>
  <c r="H235" i="4" s="1"/>
  <c r="G238" i="8" l="1"/>
  <c r="H237" i="8"/>
  <c r="G236" i="4"/>
  <c r="H236" i="4" s="1"/>
  <c r="G239" i="8" l="1"/>
  <c r="H238" i="8"/>
  <c r="G237" i="4"/>
  <c r="H237" i="4" s="1"/>
  <c r="G240" i="8" l="1"/>
  <c r="H239" i="8"/>
  <c r="G238" i="4"/>
  <c r="H238" i="4" s="1"/>
  <c r="G241" i="8" l="1"/>
  <c r="H240" i="8"/>
  <c r="G239" i="4"/>
  <c r="H239" i="4" s="1"/>
  <c r="G242" i="8" l="1"/>
  <c r="H241" i="8"/>
  <c r="G240" i="4"/>
  <c r="H240" i="4" s="1"/>
  <c r="G243" i="8" l="1"/>
  <c r="H242" i="8"/>
  <c r="G241" i="4"/>
  <c r="H241" i="4" s="1"/>
  <c r="G244" i="8" l="1"/>
  <c r="H243" i="8"/>
  <c r="G242" i="4"/>
  <c r="H242" i="4" s="1"/>
  <c r="G245" i="8" l="1"/>
  <c r="H244" i="8"/>
  <c r="G243" i="4"/>
  <c r="H243" i="4" s="1"/>
  <c r="G246" i="8" l="1"/>
  <c r="H245" i="8"/>
  <c r="G244" i="4"/>
  <c r="H244" i="4" s="1"/>
  <c r="G247" i="8" l="1"/>
  <c r="H246" i="8"/>
  <c r="G245" i="4"/>
  <c r="H245" i="4" s="1"/>
  <c r="G248" i="8" l="1"/>
  <c r="H247" i="8"/>
  <c r="G246" i="4"/>
  <c r="H246" i="4" s="1"/>
  <c r="G249" i="8" l="1"/>
  <c r="H248" i="8"/>
  <c r="G247" i="4"/>
  <c r="H247" i="4" s="1"/>
  <c r="G250" i="8" l="1"/>
  <c r="H249" i="8"/>
  <c r="G248" i="4"/>
  <c r="H248" i="4" s="1"/>
  <c r="G251" i="8" l="1"/>
  <c r="H250" i="8"/>
  <c r="G249" i="4"/>
  <c r="H249" i="4" s="1"/>
  <c r="G252" i="8" l="1"/>
  <c r="H251" i="8"/>
  <c r="G250" i="4"/>
  <c r="H250" i="4" s="1"/>
  <c r="G253" i="8" l="1"/>
  <c r="H252" i="8"/>
  <c r="G251" i="4"/>
  <c r="H251" i="4" s="1"/>
  <c r="G254" i="8" l="1"/>
  <c r="H253" i="8"/>
  <c r="G252" i="4"/>
  <c r="H252" i="4" s="1"/>
  <c r="G255" i="8" l="1"/>
  <c r="H254" i="8"/>
  <c r="G253" i="4"/>
  <c r="H253" i="4" s="1"/>
  <c r="G256" i="8" l="1"/>
  <c r="H255" i="8"/>
  <c r="G254" i="4"/>
  <c r="H254" i="4" s="1"/>
  <c r="G257" i="8" l="1"/>
  <c r="H256" i="8"/>
  <c r="G255" i="4"/>
  <c r="H255" i="4" s="1"/>
  <c r="G258" i="8" l="1"/>
  <c r="H257" i="8"/>
  <c r="G256" i="4"/>
  <c r="H256" i="4" s="1"/>
  <c r="G259" i="8" l="1"/>
  <c r="H258" i="8"/>
  <c r="G257" i="4"/>
  <c r="H257" i="4" s="1"/>
  <c r="G260" i="8" l="1"/>
  <c r="H259" i="8"/>
  <c r="G258" i="4"/>
  <c r="H258" i="4" s="1"/>
  <c r="G261" i="8" l="1"/>
  <c r="H260" i="8"/>
  <c r="G259" i="4"/>
  <c r="H259" i="4" s="1"/>
  <c r="G262" i="8" l="1"/>
  <c r="H261" i="8"/>
  <c r="G260" i="4"/>
  <c r="H260" i="4" s="1"/>
  <c r="G263" i="8" l="1"/>
  <c r="H262" i="8"/>
  <c r="G261" i="4"/>
  <c r="H261" i="4" s="1"/>
  <c r="G264" i="8" l="1"/>
  <c r="H263" i="8"/>
  <c r="G262" i="4"/>
  <c r="H262" i="4" s="1"/>
  <c r="G265" i="8" l="1"/>
  <c r="H264" i="8"/>
  <c r="G263" i="4"/>
  <c r="H263" i="4" s="1"/>
  <c r="G266" i="8" l="1"/>
  <c r="H265" i="8"/>
  <c r="G264" i="4"/>
  <c r="H264" i="4" s="1"/>
  <c r="G267" i="8" l="1"/>
  <c r="H266" i="8"/>
  <c r="G265" i="4"/>
  <c r="H265" i="4" s="1"/>
  <c r="G268" i="8" l="1"/>
  <c r="H267" i="8"/>
  <c r="G266" i="4"/>
  <c r="H266" i="4" s="1"/>
  <c r="G269" i="8" l="1"/>
  <c r="H268" i="8"/>
  <c r="G267" i="4"/>
  <c r="H267" i="4" s="1"/>
  <c r="G270" i="8" l="1"/>
  <c r="H269" i="8"/>
  <c r="G268" i="4"/>
  <c r="H268" i="4" s="1"/>
  <c r="G271" i="8" l="1"/>
  <c r="H270" i="8"/>
  <c r="G269" i="4"/>
  <c r="H269" i="4" s="1"/>
  <c r="G272" i="8" l="1"/>
  <c r="H271" i="8"/>
  <c r="G270" i="4"/>
  <c r="H270" i="4" s="1"/>
  <c r="G273" i="8" l="1"/>
  <c r="H272" i="8"/>
  <c r="G271" i="4"/>
  <c r="H271" i="4" s="1"/>
  <c r="G274" i="8" l="1"/>
  <c r="H273" i="8"/>
  <c r="G272" i="4"/>
  <c r="H272" i="4" s="1"/>
  <c r="G275" i="8" l="1"/>
  <c r="H274" i="8"/>
  <c r="G273" i="4"/>
  <c r="H273" i="4" s="1"/>
  <c r="G276" i="8" l="1"/>
  <c r="H275" i="8"/>
  <c r="G274" i="4"/>
  <c r="H274" i="4" s="1"/>
  <c r="G277" i="8" l="1"/>
  <c r="H276" i="8"/>
  <c r="G275" i="4"/>
  <c r="H275" i="4" s="1"/>
  <c r="G278" i="8" l="1"/>
  <c r="H277" i="8"/>
  <c r="G276" i="4"/>
  <c r="H276" i="4" s="1"/>
  <c r="G279" i="8" l="1"/>
  <c r="H278" i="8"/>
  <c r="G277" i="4"/>
  <c r="H277" i="4" s="1"/>
  <c r="G280" i="8" l="1"/>
  <c r="H279" i="8"/>
  <c r="G278" i="4"/>
  <c r="H278" i="4" s="1"/>
  <c r="G281" i="8" l="1"/>
  <c r="H280" i="8"/>
  <c r="G279" i="4"/>
  <c r="H279" i="4" s="1"/>
  <c r="G282" i="8" l="1"/>
  <c r="H281" i="8"/>
  <c r="G280" i="4"/>
  <c r="H280" i="4" s="1"/>
  <c r="G283" i="8" l="1"/>
  <c r="H282" i="8"/>
  <c r="G281" i="4"/>
  <c r="H281" i="4" s="1"/>
  <c r="G284" i="8" l="1"/>
  <c r="H283" i="8"/>
  <c r="G282" i="4"/>
  <c r="H282" i="4" s="1"/>
  <c r="G285" i="8" l="1"/>
  <c r="H284" i="8"/>
  <c r="G283" i="4"/>
  <c r="H283" i="4" s="1"/>
  <c r="G286" i="8" l="1"/>
  <c r="H285" i="8"/>
  <c r="G284" i="4"/>
  <c r="H284" i="4" s="1"/>
  <c r="G287" i="8" l="1"/>
  <c r="H286" i="8"/>
  <c r="G285" i="4"/>
  <c r="H285" i="4" s="1"/>
  <c r="G288" i="8" l="1"/>
  <c r="H287" i="8"/>
  <c r="G286" i="4"/>
  <c r="H286" i="4" s="1"/>
  <c r="G289" i="8" l="1"/>
  <c r="H288" i="8"/>
  <c r="G287" i="4"/>
  <c r="H287" i="4" s="1"/>
  <c r="G290" i="8" l="1"/>
  <c r="H289" i="8"/>
  <c r="G288" i="4"/>
  <c r="H288" i="4" s="1"/>
  <c r="G291" i="8" l="1"/>
  <c r="H290" i="8"/>
  <c r="G289" i="4"/>
  <c r="H289" i="4" s="1"/>
  <c r="G292" i="8" l="1"/>
  <c r="H291" i="8"/>
  <c r="G290" i="4"/>
  <c r="H290" i="4" s="1"/>
  <c r="G293" i="8" l="1"/>
  <c r="H292" i="8"/>
  <c r="G291" i="4"/>
  <c r="H291" i="4" s="1"/>
  <c r="G294" i="8" l="1"/>
  <c r="H293" i="8"/>
  <c r="G292" i="4"/>
  <c r="H292" i="4" s="1"/>
  <c r="G295" i="8" l="1"/>
  <c r="H294" i="8"/>
  <c r="G293" i="4"/>
  <c r="H293" i="4" s="1"/>
  <c r="G296" i="8" l="1"/>
  <c r="H295" i="8"/>
  <c r="G294" i="4"/>
  <c r="H294" i="4" s="1"/>
  <c r="G297" i="8" l="1"/>
  <c r="H296" i="8"/>
  <c r="G295" i="4"/>
  <c r="H295" i="4" s="1"/>
  <c r="G298" i="8" l="1"/>
  <c r="H297" i="8"/>
  <c r="G296" i="4"/>
  <c r="H296" i="4" s="1"/>
  <c r="G299" i="8" l="1"/>
  <c r="H298" i="8"/>
  <c r="G297" i="4"/>
  <c r="H297" i="4" s="1"/>
  <c r="G300" i="8" l="1"/>
  <c r="H299" i="8"/>
  <c r="G298" i="4"/>
  <c r="H298" i="4" s="1"/>
  <c r="G301" i="8" l="1"/>
  <c r="H300" i="8"/>
  <c r="G299" i="4"/>
  <c r="H299" i="4" s="1"/>
  <c r="G302" i="8" l="1"/>
  <c r="H301" i="8"/>
  <c r="G300" i="4"/>
  <c r="H300" i="4" s="1"/>
  <c r="G303" i="8" l="1"/>
  <c r="H302" i="8"/>
  <c r="G301" i="4"/>
  <c r="H301" i="4" s="1"/>
  <c r="G304" i="8" l="1"/>
  <c r="H303" i="8"/>
  <c r="G302" i="4"/>
  <c r="H302" i="4" s="1"/>
  <c r="G305" i="8" l="1"/>
  <c r="H304" i="8"/>
  <c r="G303" i="4"/>
  <c r="H303" i="4" s="1"/>
  <c r="G306" i="8" l="1"/>
  <c r="H305" i="8"/>
  <c r="G304" i="4"/>
  <c r="H304" i="4" s="1"/>
  <c r="G307" i="8" l="1"/>
  <c r="H306" i="8"/>
  <c r="G305" i="4"/>
  <c r="H305" i="4" s="1"/>
  <c r="G308" i="8" l="1"/>
  <c r="H307" i="8"/>
  <c r="G306" i="4"/>
  <c r="H306" i="4" s="1"/>
  <c r="G309" i="8" l="1"/>
  <c r="H308" i="8"/>
  <c r="G307" i="4"/>
  <c r="H307" i="4" s="1"/>
  <c r="G310" i="8" l="1"/>
  <c r="H309" i="8"/>
  <c r="G308" i="4"/>
  <c r="H308" i="4" s="1"/>
  <c r="G311" i="8" l="1"/>
  <c r="H310" i="8"/>
  <c r="G309" i="4"/>
  <c r="H309" i="4" s="1"/>
  <c r="G312" i="8" l="1"/>
  <c r="H311" i="8"/>
  <c r="G310" i="4"/>
  <c r="H310" i="4" s="1"/>
  <c r="G313" i="8" l="1"/>
  <c r="H312" i="8"/>
  <c r="G311" i="4"/>
  <c r="H311" i="4" s="1"/>
  <c r="G314" i="8" l="1"/>
  <c r="H313" i="8"/>
  <c r="G312" i="4"/>
  <c r="H312" i="4" s="1"/>
  <c r="G315" i="8" l="1"/>
  <c r="H314" i="8"/>
  <c r="G313" i="4"/>
  <c r="H313" i="4" s="1"/>
  <c r="G316" i="8" l="1"/>
  <c r="H315" i="8"/>
  <c r="G314" i="4"/>
  <c r="H314" i="4" s="1"/>
  <c r="G317" i="8" l="1"/>
  <c r="H316" i="8"/>
  <c r="G315" i="4"/>
  <c r="H315" i="4" s="1"/>
  <c r="G318" i="8" l="1"/>
  <c r="H317" i="8"/>
  <c r="G316" i="4"/>
  <c r="H316" i="4" s="1"/>
  <c r="G319" i="8" l="1"/>
  <c r="H318" i="8"/>
  <c r="G317" i="4"/>
  <c r="H317" i="4" s="1"/>
  <c r="G320" i="8" l="1"/>
  <c r="H319" i="8"/>
  <c r="G318" i="4"/>
  <c r="H318" i="4" s="1"/>
  <c r="G321" i="8" l="1"/>
  <c r="H320" i="8"/>
  <c r="G319" i="4"/>
  <c r="H319" i="4" s="1"/>
  <c r="G322" i="8" l="1"/>
  <c r="H321" i="8"/>
  <c r="G320" i="4"/>
  <c r="H320" i="4" s="1"/>
  <c r="G323" i="8" l="1"/>
  <c r="H322" i="8"/>
  <c r="G321" i="4"/>
  <c r="H321" i="4" s="1"/>
  <c r="G324" i="8" l="1"/>
  <c r="H323" i="8"/>
  <c r="G322" i="4"/>
  <c r="H322" i="4" s="1"/>
  <c r="G325" i="8" l="1"/>
  <c r="H324" i="8"/>
  <c r="G323" i="4"/>
  <c r="H323" i="4" s="1"/>
  <c r="G326" i="8" l="1"/>
  <c r="H325" i="8"/>
  <c r="G324" i="4"/>
  <c r="H324" i="4" s="1"/>
  <c r="G327" i="8" l="1"/>
  <c r="H326" i="8"/>
  <c r="G325" i="4"/>
  <c r="H325" i="4" s="1"/>
  <c r="G328" i="8" l="1"/>
  <c r="H327" i="8"/>
  <c r="G326" i="4"/>
  <c r="H326" i="4" s="1"/>
  <c r="G329" i="8" l="1"/>
  <c r="H328" i="8"/>
  <c r="G327" i="4"/>
  <c r="H327" i="4" s="1"/>
  <c r="G330" i="8" l="1"/>
  <c r="H329" i="8"/>
  <c r="G328" i="4"/>
  <c r="H328" i="4" s="1"/>
  <c r="G331" i="8" l="1"/>
  <c r="H330" i="8"/>
  <c r="G329" i="4"/>
  <c r="H329" i="4" s="1"/>
  <c r="G332" i="8" l="1"/>
  <c r="H331" i="8"/>
  <c r="G330" i="4"/>
  <c r="H330" i="4" s="1"/>
  <c r="G333" i="8" l="1"/>
  <c r="H332" i="8"/>
  <c r="G331" i="4"/>
  <c r="H331" i="4" s="1"/>
  <c r="G334" i="8" l="1"/>
  <c r="H333" i="8"/>
  <c r="G332" i="4"/>
  <c r="H332" i="4" s="1"/>
  <c r="G335" i="8" l="1"/>
  <c r="H334" i="8"/>
  <c r="G333" i="4"/>
  <c r="H333" i="4" s="1"/>
  <c r="G336" i="8" l="1"/>
  <c r="H335" i="8"/>
  <c r="G334" i="4"/>
  <c r="H334" i="4" s="1"/>
  <c r="G337" i="8" l="1"/>
  <c r="H336" i="8"/>
  <c r="G335" i="4"/>
  <c r="H335" i="4" s="1"/>
  <c r="G338" i="8" l="1"/>
  <c r="H337" i="8"/>
  <c r="G336" i="4"/>
  <c r="H336" i="4" s="1"/>
  <c r="G339" i="8" l="1"/>
  <c r="H338" i="8"/>
  <c r="G337" i="4"/>
  <c r="H337" i="4" s="1"/>
  <c r="G340" i="8" l="1"/>
  <c r="H339" i="8"/>
  <c r="G338" i="4"/>
  <c r="H338" i="4" s="1"/>
  <c r="G341" i="8" l="1"/>
  <c r="H340" i="8"/>
  <c r="G339" i="4"/>
  <c r="H339" i="4" s="1"/>
  <c r="G342" i="8" l="1"/>
  <c r="H341" i="8"/>
  <c r="G340" i="4"/>
  <c r="H340" i="4" s="1"/>
  <c r="G343" i="8" l="1"/>
  <c r="H342" i="8"/>
  <c r="G341" i="4"/>
  <c r="H341" i="4" s="1"/>
  <c r="G344" i="8" l="1"/>
  <c r="H343" i="8"/>
  <c r="G342" i="4"/>
  <c r="H342" i="4" s="1"/>
  <c r="G345" i="8" l="1"/>
  <c r="H344" i="8"/>
  <c r="G343" i="4"/>
  <c r="H343" i="4" s="1"/>
  <c r="G346" i="8" l="1"/>
  <c r="H345" i="8"/>
  <c r="G344" i="4"/>
  <c r="H344" i="4" s="1"/>
  <c r="G347" i="8" l="1"/>
  <c r="H346" i="8"/>
  <c r="G345" i="4"/>
  <c r="H345" i="4" s="1"/>
  <c r="G348" i="8" l="1"/>
  <c r="H347" i="8"/>
  <c r="G346" i="4"/>
  <c r="H346" i="4" s="1"/>
  <c r="G349" i="8" l="1"/>
  <c r="H348" i="8"/>
  <c r="G347" i="4"/>
  <c r="H347" i="4" s="1"/>
  <c r="G350" i="8" l="1"/>
  <c r="H349" i="8"/>
  <c r="G348" i="4"/>
  <c r="H348" i="4" s="1"/>
  <c r="G351" i="8" l="1"/>
  <c r="H350" i="8"/>
  <c r="G349" i="4"/>
  <c r="H349" i="4" s="1"/>
  <c r="G352" i="8" l="1"/>
  <c r="H351" i="8"/>
  <c r="G350" i="4"/>
  <c r="H350" i="4" s="1"/>
  <c r="G353" i="8" l="1"/>
  <c r="H352" i="8"/>
  <c r="G351" i="4"/>
  <c r="H351" i="4" s="1"/>
  <c r="G354" i="8" l="1"/>
  <c r="H353" i="8"/>
  <c r="G352" i="4"/>
  <c r="H352" i="4" s="1"/>
  <c r="G355" i="8" l="1"/>
  <c r="H354" i="8"/>
  <c r="G353" i="4"/>
  <c r="H353" i="4" s="1"/>
  <c r="G356" i="8" l="1"/>
  <c r="H355" i="8"/>
  <c r="G354" i="4"/>
  <c r="H354" i="4" s="1"/>
  <c r="G357" i="8" l="1"/>
  <c r="H356" i="8"/>
  <c r="G355" i="4"/>
  <c r="H355" i="4" s="1"/>
  <c r="G358" i="8" l="1"/>
  <c r="H357" i="8"/>
  <c r="G356" i="4"/>
  <c r="H356" i="4" s="1"/>
  <c r="G359" i="8" l="1"/>
  <c r="H358" i="8"/>
  <c r="G357" i="4"/>
  <c r="H357" i="4" s="1"/>
  <c r="G360" i="8" l="1"/>
  <c r="H359" i="8"/>
  <c r="G358" i="4"/>
  <c r="H358" i="4" s="1"/>
  <c r="G361" i="8" l="1"/>
  <c r="H360" i="8"/>
  <c r="G359" i="4"/>
  <c r="H359" i="4" s="1"/>
  <c r="G362" i="8" l="1"/>
  <c r="H361" i="8"/>
  <c r="G360" i="4"/>
  <c r="H360" i="4" s="1"/>
  <c r="G363" i="8" l="1"/>
  <c r="H362" i="8"/>
  <c r="G361" i="4"/>
  <c r="H361" i="4" s="1"/>
  <c r="G364" i="8" l="1"/>
  <c r="H363" i="8"/>
  <c r="G362" i="4"/>
  <c r="H362" i="4" s="1"/>
  <c r="G365" i="8" l="1"/>
  <c r="H364" i="8"/>
  <c r="G363" i="4"/>
  <c r="H363" i="4" s="1"/>
  <c r="G366" i="8" l="1"/>
  <c r="H365" i="8"/>
  <c r="G364" i="4"/>
  <c r="H364" i="4" s="1"/>
  <c r="G367" i="8" l="1"/>
  <c r="H366" i="8"/>
  <c r="G365" i="4"/>
  <c r="H365" i="4" s="1"/>
  <c r="G368" i="8" l="1"/>
  <c r="H367" i="8"/>
  <c r="G366" i="4"/>
  <c r="H366" i="4" s="1"/>
  <c r="G369" i="8" l="1"/>
  <c r="H368" i="8"/>
  <c r="G367" i="4"/>
  <c r="H367" i="4" s="1"/>
  <c r="G370" i="8" l="1"/>
  <c r="H369" i="8"/>
  <c r="G368" i="4"/>
  <c r="H368" i="4" s="1"/>
  <c r="G371" i="8" l="1"/>
  <c r="H370" i="8"/>
  <c r="G369" i="4"/>
  <c r="H369" i="4" s="1"/>
  <c r="G372" i="8" l="1"/>
  <c r="H371" i="8"/>
  <c r="G370" i="4"/>
  <c r="H370" i="4" s="1"/>
  <c r="G373" i="8" l="1"/>
  <c r="H372" i="8"/>
  <c r="G371" i="4"/>
  <c r="H371" i="4" s="1"/>
  <c r="G374" i="8" l="1"/>
  <c r="H373" i="8"/>
  <c r="G372" i="4"/>
  <c r="H372" i="4" s="1"/>
  <c r="G375" i="8" l="1"/>
  <c r="H374" i="8"/>
  <c r="G373" i="4"/>
  <c r="H373" i="4" s="1"/>
  <c r="G376" i="8" l="1"/>
  <c r="H375" i="8"/>
  <c r="G374" i="4"/>
  <c r="H374" i="4" s="1"/>
  <c r="G377" i="8" l="1"/>
  <c r="H376" i="8"/>
  <c r="G375" i="4"/>
  <c r="H375" i="4" s="1"/>
  <c r="G378" i="8" l="1"/>
  <c r="H377" i="8"/>
  <c r="G376" i="4"/>
  <c r="H376" i="4" s="1"/>
  <c r="G379" i="8" l="1"/>
  <c r="H378" i="8"/>
  <c r="G377" i="4"/>
  <c r="H377" i="4" s="1"/>
  <c r="G380" i="8" l="1"/>
  <c r="H379" i="8"/>
  <c r="G378" i="4"/>
  <c r="H378" i="4" s="1"/>
  <c r="G381" i="8" l="1"/>
  <c r="H380" i="8"/>
  <c r="G379" i="4"/>
  <c r="H379" i="4" s="1"/>
  <c r="G382" i="8" l="1"/>
  <c r="H381" i="8"/>
  <c r="G380" i="4"/>
  <c r="H380" i="4" s="1"/>
  <c r="G383" i="8" l="1"/>
  <c r="H382" i="8"/>
  <c r="G381" i="4"/>
  <c r="H381" i="4" s="1"/>
  <c r="G384" i="8" l="1"/>
  <c r="H383" i="8"/>
  <c r="G382" i="4"/>
  <c r="H382" i="4" s="1"/>
  <c r="G385" i="8" l="1"/>
  <c r="H384" i="8"/>
  <c r="G383" i="4"/>
  <c r="H383" i="4" s="1"/>
  <c r="G386" i="8" l="1"/>
  <c r="H385" i="8"/>
  <c r="G384" i="4"/>
  <c r="H384" i="4" s="1"/>
  <c r="G387" i="8" l="1"/>
  <c r="H386" i="8"/>
  <c r="G385" i="4"/>
  <c r="H385" i="4" s="1"/>
  <c r="G388" i="8" l="1"/>
  <c r="H387" i="8"/>
  <c r="G386" i="4"/>
  <c r="H386" i="4" s="1"/>
  <c r="G389" i="8" l="1"/>
  <c r="H388" i="8"/>
  <c r="G387" i="4"/>
  <c r="H387" i="4" s="1"/>
  <c r="G390" i="8" l="1"/>
  <c r="H389" i="8"/>
  <c r="G388" i="4"/>
  <c r="H388" i="4" s="1"/>
  <c r="G391" i="8" l="1"/>
  <c r="H390" i="8"/>
  <c r="G389" i="4"/>
  <c r="H389" i="4" s="1"/>
  <c r="G392" i="8" l="1"/>
  <c r="H391" i="8"/>
  <c r="G390" i="4"/>
  <c r="H390" i="4" s="1"/>
  <c r="G393" i="8" l="1"/>
  <c r="H392" i="8"/>
  <c r="G391" i="4"/>
  <c r="H391" i="4" s="1"/>
  <c r="G394" i="8" l="1"/>
  <c r="H393" i="8"/>
  <c r="G392" i="4"/>
  <c r="H392" i="4" s="1"/>
  <c r="G395" i="8" l="1"/>
  <c r="H394" i="8"/>
  <c r="G393" i="4"/>
  <c r="H393" i="4" s="1"/>
  <c r="G396" i="8" l="1"/>
  <c r="H395" i="8"/>
  <c r="G394" i="4"/>
  <c r="H394" i="4" s="1"/>
  <c r="G397" i="8" l="1"/>
  <c r="H396" i="8"/>
  <c r="G395" i="4"/>
  <c r="H395" i="4" s="1"/>
  <c r="G398" i="8" l="1"/>
  <c r="H397" i="8"/>
  <c r="G396" i="4"/>
  <c r="H396" i="4" s="1"/>
  <c r="G399" i="8" l="1"/>
  <c r="H398" i="8"/>
  <c r="G397" i="4"/>
  <c r="H397" i="4" s="1"/>
  <c r="G400" i="8" l="1"/>
  <c r="H399" i="8"/>
  <c r="G398" i="4"/>
  <c r="H398" i="4" s="1"/>
  <c r="G401" i="8" l="1"/>
  <c r="H400" i="8"/>
  <c r="G399" i="4"/>
  <c r="H399" i="4" s="1"/>
  <c r="G402" i="8" l="1"/>
  <c r="H401" i="8"/>
  <c r="G400" i="4"/>
  <c r="H400" i="4" s="1"/>
  <c r="G403" i="8" l="1"/>
  <c r="H402" i="8"/>
  <c r="G401" i="4"/>
  <c r="H401" i="4" s="1"/>
  <c r="G404" i="8" l="1"/>
  <c r="H403" i="8"/>
  <c r="G402" i="4"/>
  <c r="H402" i="4" s="1"/>
  <c r="G405" i="8" l="1"/>
  <c r="H404" i="8"/>
  <c r="G403" i="4"/>
  <c r="H403" i="4" s="1"/>
  <c r="G406" i="8" l="1"/>
  <c r="H405" i="8"/>
  <c r="G404" i="4"/>
  <c r="H404" i="4" s="1"/>
  <c r="G407" i="8" l="1"/>
  <c r="H406" i="8"/>
  <c r="G405" i="4"/>
  <c r="H405" i="4" s="1"/>
  <c r="G408" i="8" l="1"/>
  <c r="H407" i="8"/>
  <c r="G406" i="4"/>
  <c r="H406" i="4" s="1"/>
  <c r="G409" i="8" l="1"/>
  <c r="H408" i="8"/>
  <c r="G407" i="4"/>
  <c r="H407" i="4" s="1"/>
  <c r="G410" i="8" l="1"/>
  <c r="H409" i="8"/>
  <c r="G408" i="4"/>
  <c r="H408" i="4" s="1"/>
  <c r="G411" i="8" l="1"/>
  <c r="H410" i="8"/>
  <c r="G409" i="4"/>
  <c r="H409" i="4" s="1"/>
  <c r="G412" i="8" l="1"/>
  <c r="H411" i="8"/>
  <c r="G410" i="4"/>
  <c r="H410" i="4" s="1"/>
  <c r="G413" i="8" l="1"/>
  <c r="H412" i="8"/>
  <c r="G411" i="4"/>
  <c r="H411" i="4" s="1"/>
  <c r="G414" i="8" l="1"/>
  <c r="H413" i="8"/>
  <c r="G412" i="4"/>
  <c r="H412" i="4" s="1"/>
  <c r="G415" i="8" l="1"/>
  <c r="H414" i="8"/>
  <c r="G413" i="4"/>
  <c r="H413" i="4" s="1"/>
  <c r="G416" i="8" l="1"/>
  <c r="H415" i="8"/>
  <c r="G414" i="4"/>
  <c r="H414" i="4" s="1"/>
  <c r="G417" i="8" l="1"/>
  <c r="H416" i="8"/>
  <c r="G415" i="4"/>
  <c r="H415" i="4" s="1"/>
  <c r="G418" i="8" l="1"/>
  <c r="H417" i="8"/>
  <c r="G416" i="4"/>
  <c r="H416" i="4" s="1"/>
  <c r="G419" i="8" l="1"/>
  <c r="H418" i="8"/>
  <c r="G417" i="4"/>
  <c r="H417" i="4" s="1"/>
  <c r="G420" i="8" l="1"/>
  <c r="H419" i="8"/>
  <c r="G418" i="4"/>
  <c r="H418" i="4" s="1"/>
  <c r="G421" i="8" l="1"/>
  <c r="H421" i="8" s="1"/>
  <c r="H420" i="8"/>
  <c r="G419" i="4"/>
  <c r="H419" i="4" s="1"/>
  <c r="G420" i="4" l="1"/>
  <c r="H420" i="4" s="1"/>
  <c r="G421" i="4" l="1"/>
  <c r="H42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TonyLadson</author>
    <author>RBrown</author>
    <author>dwain and jane dawes</author>
  </authors>
  <commentList>
    <comment ref="A9" authorId="0" shapeId="0" xr:uid="{F542F038-E51A-4DAF-8CC5-5E6F50AC4163}">
      <text>
        <r>
          <rPr>
            <b/>
            <sz val="9"/>
            <color indexed="81"/>
            <rFont val="Tahoma"/>
            <family val="2"/>
          </rPr>
          <t>TonyLadson:</t>
        </r>
        <r>
          <rPr>
            <sz val="9"/>
            <color indexed="81"/>
            <rFont val="Tahoma"/>
            <family val="2"/>
          </rPr>
          <t xml:space="preserve">
Note that the first 30 lines of data are reflected  i.e. copied from lines 2 to 31 in the original data file.  Have a look at row 39</t>
        </r>
      </text>
    </comment>
    <comment ref="F9" authorId="1" shapeId="0" xr:uid="{E397A359-89BC-48B7-97A1-ECAD2D6C003B}">
      <text>
        <r>
          <rPr>
            <sz val="8"/>
            <color indexed="81"/>
            <rFont val="Tahoma"/>
            <family val="2"/>
          </rPr>
          <t>change this to equal Q  at this time step</t>
        </r>
      </text>
    </comment>
    <comment ref="H9" authorId="2" shapeId="0" xr:uid="{B68E9B8F-F8A6-48C0-9B7A-2DA1F42CF7DD}">
      <text>
        <r>
          <rPr>
            <sz val="8"/>
            <color indexed="81"/>
            <rFont val="Tahoma"/>
            <family val="2"/>
          </rPr>
          <t>Remember that the second pass is backward.
Meaning that the line after is used, instead of the line before (k+1, rather than k-1).</t>
        </r>
      </text>
    </comment>
    <comment ref="J9" authorId="1" shapeId="0" xr:uid="{642FAB3B-C33D-4EA8-9402-72BD56DF1AAE}">
      <text>
        <r>
          <rPr>
            <sz val="8"/>
            <color indexed="81"/>
            <rFont val="Tahoma"/>
            <family val="2"/>
          </rPr>
          <t xml:space="preserve">
change to equal QB2 at this time step</t>
        </r>
      </text>
    </comment>
    <comment ref="H10" authorId="1" shapeId="0" xr:uid="{56653256-0EDF-43A2-B0C8-644BD041A005}">
      <text>
        <r>
          <rPr>
            <sz val="8"/>
            <color indexed="81"/>
            <rFont val="Tahoma"/>
            <family val="2"/>
          </rPr>
          <t>Changed QF2 at final time step to equal QF1 at final timestep
(i.e. look at the very last entry in this row)</t>
        </r>
      </text>
    </comment>
    <comment ref="D25" authorId="2" shapeId="0" xr:uid="{E2184BA9-7A2C-4704-993F-4E38BCEBA0B7}">
      <text>
        <r>
          <rPr>
            <sz val="8"/>
            <color indexed="81"/>
            <rFont val="Tahoma"/>
            <family val="2"/>
          </rPr>
          <t>Rreflected data.
 30 days at the start, and 30 days  at the end. This is used to allow the filter to warm up and cool down.</t>
        </r>
      </text>
    </comment>
    <comment ref="L107" authorId="0" shapeId="0" xr:uid="{C5A9E5DE-EF85-47B6-80CA-56FEC8D7A91F}">
      <text>
        <r>
          <rPr>
            <b/>
            <sz val="9"/>
            <color indexed="81"/>
            <rFont val="Tahoma"/>
            <family val="2"/>
          </rPr>
          <t>TonyLadson:</t>
        </r>
        <r>
          <rPr>
            <sz val="9"/>
            <color indexed="81"/>
            <rFont val="Tahoma"/>
            <family val="2"/>
          </rPr>
          <t xml:space="preserve">
Minor differences between Basejumper and the spreadsheet solution. OK to at least 5 decimal places</t>
        </r>
      </text>
    </comment>
    <comment ref="M108" authorId="0" shapeId="0" xr:uid="{EE0924FA-709D-4ABE-8B68-9BCB0828550D}">
      <text>
        <r>
          <rPr>
            <b/>
            <sz val="9"/>
            <color indexed="81"/>
            <rFont val="Tahoma"/>
            <family val="2"/>
          </rPr>
          <t>TonyLadson:</t>
        </r>
        <r>
          <rPr>
            <sz val="9"/>
            <color indexed="81"/>
            <rFont val="Tahoma"/>
            <family val="2"/>
          </rPr>
          <t xml:space="preserve">
The R and spreadsheet solution agree to 7 decimal places</t>
        </r>
      </text>
    </comment>
    <comment ref="H135" authorId="0" shapeId="0" xr:uid="{904C6312-BD60-4A1C-BAC1-C7032230379B}">
      <text>
        <r>
          <rPr>
            <b/>
            <sz val="9"/>
            <color indexed="81"/>
            <rFont val="Tahoma"/>
            <family val="2"/>
          </rPr>
          <t>TonyLadson:</t>
        </r>
        <r>
          <rPr>
            <sz val="9"/>
            <color indexed="81"/>
            <rFont val="Tahoma"/>
            <family val="2"/>
          </rPr>
          <t xml:space="preserve">
This is set to QB1 at the same time step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<sst xmlns="http://schemas.openxmlformats.org/spreadsheetml/2006/main" count="84" uniqueCount="44">
  <si>
    <t>Date</t>
  </si>
  <si>
    <t>Daily Flow (cfs)</t>
  </si>
  <si>
    <t>q</t>
  </si>
  <si>
    <t>qf</t>
  </si>
  <si>
    <t>alpha</t>
  </si>
  <si>
    <t>qb</t>
  </si>
  <si>
    <t>Pass 1 Forward</t>
  </si>
  <si>
    <t>Pass 2 Backward</t>
  </si>
  <si>
    <t>Pass 3 Forward</t>
  </si>
  <si>
    <t>Sample Dataset - Bass River at Loch</t>
  </si>
  <si>
    <t>Note: first and last 30 rows are reflected data</t>
  </si>
  <si>
    <t>Filter Parameter</t>
  </si>
  <si>
    <t>a</t>
  </si>
  <si>
    <t>Spreadsheet solution</t>
  </si>
  <si>
    <t>Index</t>
  </si>
  <si>
    <t>StreamFlow</t>
  </si>
  <si>
    <t>Quicklow Pass 1</t>
  </si>
  <si>
    <t>Baseflow Pass 1</t>
  </si>
  <si>
    <t>Quicklow Pass 2</t>
  </si>
  <si>
    <t>Baseflow Pass 2</t>
  </si>
  <si>
    <t>Quicklow Pass 3</t>
  </si>
  <si>
    <t>BASEFLOW</t>
  </si>
  <si>
    <t>Q</t>
  </si>
  <si>
    <t>QF1</t>
  </si>
  <si>
    <t>QB1</t>
  </si>
  <si>
    <t>QF2</t>
  </si>
  <si>
    <t>QB2</t>
  </si>
  <si>
    <t>QF3</t>
  </si>
  <si>
    <t>baseflow</t>
  </si>
  <si>
    <t>streamflow</t>
  </si>
  <si>
    <t>BFI</t>
  </si>
  <si>
    <t>https://drive.google.com/file/d/1T-_QxYAaxYkm0KQB4p1vJukfjJdaYgFy/view</t>
  </si>
  <si>
    <t>https://tonyladson.wordpress.com/2013/10/01/a-standard-approach-to-baseflow-separation-using-the-lyne-and-hollick-filter/</t>
  </si>
  <si>
    <t>(LH as published is much smoother)</t>
  </si>
  <si>
    <t>(This replicates example from paper)</t>
  </si>
  <si>
    <t>(This replicates formulas from paper)</t>
  </si>
  <si>
    <t>LH per Tony Ladson Example</t>
  </si>
  <si>
    <t>LH per published equations</t>
  </si>
  <si>
    <t>LH per Tony Ladson example</t>
  </si>
  <si>
    <t>https://drive.google.com/file/d/0Byy0dkN8g_n7YVpHNmVrZVF5YWM/view?resourcekey=0-xJq5evnpYfYlGwPUq_G_RQ</t>
  </si>
  <si>
    <t>Paper</t>
  </si>
  <si>
    <t>Spreadsheet</t>
  </si>
  <si>
    <t>Discussion</t>
  </si>
  <si>
    <t>LH per Tony Ladson published equations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</si>
</sst>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"/>
    <numFmt numFmtId="166" formatCode="0.0000000"/>
    <numFmt numFmtId="167" formatCode="0.000000000000000"/>
    <numFmt numFmtId="168" formatCode="[$-C09]dd\-mmm\-yy;@"/>
    <numFmt numFmtId="169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MS Sans Serif"/>
      <charset val="1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8"/>
      <color rgb="FF000000"/>
      <name val="Segoe UI"/>
      <family val="2"/>
    </font>
    <font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Alignment="0">
      <alignment vertical="top" wrapText="1"/>
      <protection locked="0"/>
    </xf>
  </cellStyleXfs>
  <cellXfs count="47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14" fontId="0" fillId="0" borderId="0" xfId="0" applyNumberFormat="1"/>
    <xf numFmtId="14" fontId="0" fillId="2" borderId="0" xfId="0" applyNumberFormat="1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0" fillId="3" borderId="0" xfId="0" applyFill="1" applyAlignment="1">
      <alignment horizontal="lef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0" borderId="1" xfId="0" applyBorder="1" applyAlignment="1">
      <alignment horizontal="center"/>
    </xf>
    <xf numFmtId="0" fontId="5" fillId="4" borderId="1" xfId="0" applyFont="1" applyFill="1" applyBorder="1"/>
    <xf numFmtId="2" fontId="0" fillId="4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3" borderId="1" xfId="0" applyFont="1" applyFill="1" applyBorder="1"/>
    <xf numFmtId="2" fontId="0" fillId="3" borderId="1" xfId="0" applyNumberForma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8" fillId="0" borderId="0" xfId="0" applyFont="1"/>
    <xf numFmtId="164" fontId="6" fillId="3" borderId="0" xfId="0" applyNumberFormat="1" applyFont="1" applyFill="1" applyAlignment="1">
      <alignment horizontal="center"/>
    </xf>
    <xf numFmtId="0" fontId="0" fillId="0" borderId="1" xfId="0" applyBorder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4" borderId="1" xfId="0" applyFill="1" applyBorder="1"/>
    <xf numFmtId="2" fontId="0" fillId="0" borderId="0" xfId="0" applyNumberFormat="1" applyAlignment="1">
      <alignment horizontal="left"/>
    </xf>
    <xf numFmtId="0" fontId="1" fillId="0" borderId="0" xfId="0" applyFont="1"/>
    <xf numFmtId="169" fontId="0" fillId="2" borderId="0" xfId="0" applyNumberFormat="1" applyFill="1"/>
    <xf numFmtId="169" fontId="0" fillId="0" borderId="0" xfId="0" applyNumberFormat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4AF40F2E-48E4-46D9-9BA1-39BDFA27A1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'LH as published'!$B$2</c:f>
              <c:strCache>
                <c:ptCount val="1"/>
                <c:pt idx="0">
                  <c:v>Daily Flow (cfs)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'LH as published'!$A$33:$A$392</c:f>
              <c:numCache>
                <c:formatCode>m/d/yyyy</c:formatCode>
                <c:ptCount val="360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  <c:pt idx="180">
                  <c:v>44011</c:v>
                </c:pt>
                <c:pt idx="181">
                  <c:v>44012</c:v>
                </c:pt>
                <c:pt idx="182">
                  <c:v>44013</c:v>
                </c:pt>
                <c:pt idx="183">
                  <c:v>44014</c:v>
                </c:pt>
                <c:pt idx="184">
                  <c:v>44015</c:v>
                </c:pt>
                <c:pt idx="185">
                  <c:v>44016</c:v>
                </c:pt>
                <c:pt idx="186">
                  <c:v>44017</c:v>
                </c:pt>
                <c:pt idx="187">
                  <c:v>44018</c:v>
                </c:pt>
                <c:pt idx="188">
                  <c:v>44019</c:v>
                </c:pt>
                <c:pt idx="189">
                  <c:v>44020</c:v>
                </c:pt>
                <c:pt idx="190">
                  <c:v>44021</c:v>
                </c:pt>
                <c:pt idx="191">
                  <c:v>44022</c:v>
                </c:pt>
                <c:pt idx="192">
                  <c:v>44023</c:v>
                </c:pt>
                <c:pt idx="193">
                  <c:v>44024</c:v>
                </c:pt>
                <c:pt idx="194">
                  <c:v>44025</c:v>
                </c:pt>
                <c:pt idx="195">
                  <c:v>44026</c:v>
                </c:pt>
                <c:pt idx="196">
                  <c:v>44027</c:v>
                </c:pt>
                <c:pt idx="197">
                  <c:v>44028</c:v>
                </c:pt>
                <c:pt idx="198">
                  <c:v>44029</c:v>
                </c:pt>
                <c:pt idx="199">
                  <c:v>44030</c:v>
                </c:pt>
                <c:pt idx="200">
                  <c:v>44031</c:v>
                </c:pt>
                <c:pt idx="201">
                  <c:v>44032</c:v>
                </c:pt>
                <c:pt idx="202">
                  <c:v>44033</c:v>
                </c:pt>
                <c:pt idx="203">
                  <c:v>44034</c:v>
                </c:pt>
                <c:pt idx="204">
                  <c:v>44035</c:v>
                </c:pt>
                <c:pt idx="205">
                  <c:v>44036</c:v>
                </c:pt>
                <c:pt idx="206">
                  <c:v>44037</c:v>
                </c:pt>
                <c:pt idx="207">
                  <c:v>44038</c:v>
                </c:pt>
                <c:pt idx="208">
                  <c:v>44039</c:v>
                </c:pt>
                <c:pt idx="209">
                  <c:v>44040</c:v>
                </c:pt>
                <c:pt idx="210">
                  <c:v>44041</c:v>
                </c:pt>
                <c:pt idx="211">
                  <c:v>44042</c:v>
                </c:pt>
                <c:pt idx="212">
                  <c:v>44043</c:v>
                </c:pt>
                <c:pt idx="213">
                  <c:v>44044</c:v>
                </c:pt>
                <c:pt idx="214">
                  <c:v>44045</c:v>
                </c:pt>
                <c:pt idx="215">
                  <c:v>44046</c:v>
                </c:pt>
                <c:pt idx="216">
                  <c:v>44047</c:v>
                </c:pt>
                <c:pt idx="217">
                  <c:v>44048</c:v>
                </c:pt>
                <c:pt idx="218">
                  <c:v>44049</c:v>
                </c:pt>
                <c:pt idx="219">
                  <c:v>44050</c:v>
                </c:pt>
                <c:pt idx="220">
                  <c:v>44051</c:v>
                </c:pt>
                <c:pt idx="221">
                  <c:v>44052</c:v>
                </c:pt>
                <c:pt idx="222">
                  <c:v>44053</c:v>
                </c:pt>
                <c:pt idx="223">
                  <c:v>44054</c:v>
                </c:pt>
                <c:pt idx="224">
                  <c:v>44055</c:v>
                </c:pt>
                <c:pt idx="225">
                  <c:v>44056</c:v>
                </c:pt>
                <c:pt idx="226">
                  <c:v>44057</c:v>
                </c:pt>
                <c:pt idx="227">
                  <c:v>44058</c:v>
                </c:pt>
                <c:pt idx="228">
                  <c:v>44059</c:v>
                </c:pt>
                <c:pt idx="229">
                  <c:v>44060</c:v>
                </c:pt>
                <c:pt idx="230">
                  <c:v>44061</c:v>
                </c:pt>
                <c:pt idx="231">
                  <c:v>44062</c:v>
                </c:pt>
                <c:pt idx="232">
                  <c:v>44063</c:v>
                </c:pt>
                <c:pt idx="233">
                  <c:v>44064</c:v>
                </c:pt>
                <c:pt idx="234">
                  <c:v>44065</c:v>
                </c:pt>
                <c:pt idx="235">
                  <c:v>44066</c:v>
                </c:pt>
                <c:pt idx="236">
                  <c:v>44067</c:v>
                </c:pt>
                <c:pt idx="237">
                  <c:v>44068</c:v>
                </c:pt>
                <c:pt idx="238">
                  <c:v>44069</c:v>
                </c:pt>
                <c:pt idx="239">
                  <c:v>44070</c:v>
                </c:pt>
                <c:pt idx="240">
                  <c:v>44071</c:v>
                </c:pt>
                <c:pt idx="241">
                  <c:v>44072</c:v>
                </c:pt>
                <c:pt idx="242">
                  <c:v>44073</c:v>
                </c:pt>
                <c:pt idx="243">
                  <c:v>44074</c:v>
                </c:pt>
                <c:pt idx="244">
                  <c:v>44075</c:v>
                </c:pt>
                <c:pt idx="245">
                  <c:v>44076</c:v>
                </c:pt>
                <c:pt idx="246">
                  <c:v>44077</c:v>
                </c:pt>
                <c:pt idx="247">
                  <c:v>44078</c:v>
                </c:pt>
                <c:pt idx="248">
                  <c:v>44079</c:v>
                </c:pt>
                <c:pt idx="249">
                  <c:v>44080</c:v>
                </c:pt>
                <c:pt idx="250">
                  <c:v>44081</c:v>
                </c:pt>
                <c:pt idx="251">
                  <c:v>44082</c:v>
                </c:pt>
                <c:pt idx="252">
                  <c:v>44083</c:v>
                </c:pt>
                <c:pt idx="253">
                  <c:v>44084</c:v>
                </c:pt>
                <c:pt idx="254">
                  <c:v>44085</c:v>
                </c:pt>
                <c:pt idx="255">
                  <c:v>44086</c:v>
                </c:pt>
                <c:pt idx="256">
                  <c:v>44087</c:v>
                </c:pt>
                <c:pt idx="257">
                  <c:v>44088</c:v>
                </c:pt>
                <c:pt idx="258">
                  <c:v>44089</c:v>
                </c:pt>
                <c:pt idx="259">
                  <c:v>44090</c:v>
                </c:pt>
                <c:pt idx="260">
                  <c:v>44091</c:v>
                </c:pt>
                <c:pt idx="261">
                  <c:v>44092</c:v>
                </c:pt>
                <c:pt idx="262">
                  <c:v>44093</c:v>
                </c:pt>
                <c:pt idx="263">
                  <c:v>44094</c:v>
                </c:pt>
                <c:pt idx="264">
                  <c:v>44095</c:v>
                </c:pt>
                <c:pt idx="265">
                  <c:v>44096</c:v>
                </c:pt>
                <c:pt idx="266">
                  <c:v>44097</c:v>
                </c:pt>
                <c:pt idx="267">
                  <c:v>44098</c:v>
                </c:pt>
                <c:pt idx="268">
                  <c:v>44099</c:v>
                </c:pt>
                <c:pt idx="269">
                  <c:v>44100</c:v>
                </c:pt>
                <c:pt idx="270">
                  <c:v>44101</c:v>
                </c:pt>
                <c:pt idx="271">
                  <c:v>44102</c:v>
                </c:pt>
                <c:pt idx="272">
                  <c:v>44103</c:v>
                </c:pt>
                <c:pt idx="273">
                  <c:v>44104</c:v>
                </c:pt>
                <c:pt idx="274">
                  <c:v>44105</c:v>
                </c:pt>
                <c:pt idx="275">
                  <c:v>44106</c:v>
                </c:pt>
                <c:pt idx="276">
                  <c:v>44107</c:v>
                </c:pt>
                <c:pt idx="277">
                  <c:v>44108</c:v>
                </c:pt>
                <c:pt idx="278">
                  <c:v>44109</c:v>
                </c:pt>
                <c:pt idx="279">
                  <c:v>44110</c:v>
                </c:pt>
                <c:pt idx="280">
                  <c:v>44111</c:v>
                </c:pt>
                <c:pt idx="281">
                  <c:v>44112</c:v>
                </c:pt>
                <c:pt idx="282">
                  <c:v>44113</c:v>
                </c:pt>
                <c:pt idx="283">
                  <c:v>44114</c:v>
                </c:pt>
                <c:pt idx="284">
                  <c:v>44115</c:v>
                </c:pt>
                <c:pt idx="285">
                  <c:v>44116</c:v>
                </c:pt>
                <c:pt idx="286">
                  <c:v>44117</c:v>
                </c:pt>
                <c:pt idx="287">
                  <c:v>44118</c:v>
                </c:pt>
                <c:pt idx="288">
                  <c:v>44119</c:v>
                </c:pt>
                <c:pt idx="289">
                  <c:v>44120</c:v>
                </c:pt>
                <c:pt idx="290">
                  <c:v>44121</c:v>
                </c:pt>
                <c:pt idx="291">
                  <c:v>44122</c:v>
                </c:pt>
                <c:pt idx="292">
                  <c:v>44123</c:v>
                </c:pt>
                <c:pt idx="293">
                  <c:v>44124</c:v>
                </c:pt>
                <c:pt idx="294">
                  <c:v>44125</c:v>
                </c:pt>
                <c:pt idx="295">
                  <c:v>44126</c:v>
                </c:pt>
                <c:pt idx="296">
                  <c:v>44127</c:v>
                </c:pt>
                <c:pt idx="297">
                  <c:v>44128</c:v>
                </c:pt>
                <c:pt idx="298">
                  <c:v>44129</c:v>
                </c:pt>
                <c:pt idx="299">
                  <c:v>44130</c:v>
                </c:pt>
                <c:pt idx="300">
                  <c:v>44131</c:v>
                </c:pt>
                <c:pt idx="301">
                  <c:v>44132</c:v>
                </c:pt>
                <c:pt idx="302">
                  <c:v>44133</c:v>
                </c:pt>
                <c:pt idx="303">
                  <c:v>44134</c:v>
                </c:pt>
                <c:pt idx="304">
                  <c:v>44135</c:v>
                </c:pt>
                <c:pt idx="305">
                  <c:v>44136</c:v>
                </c:pt>
                <c:pt idx="306">
                  <c:v>44137</c:v>
                </c:pt>
                <c:pt idx="307">
                  <c:v>44138</c:v>
                </c:pt>
                <c:pt idx="308">
                  <c:v>44139</c:v>
                </c:pt>
                <c:pt idx="309">
                  <c:v>44140</c:v>
                </c:pt>
                <c:pt idx="310">
                  <c:v>44141</c:v>
                </c:pt>
                <c:pt idx="311">
                  <c:v>44142</c:v>
                </c:pt>
                <c:pt idx="312">
                  <c:v>44143</c:v>
                </c:pt>
                <c:pt idx="313">
                  <c:v>44144</c:v>
                </c:pt>
                <c:pt idx="314">
                  <c:v>44145</c:v>
                </c:pt>
                <c:pt idx="315">
                  <c:v>44146</c:v>
                </c:pt>
                <c:pt idx="316">
                  <c:v>44147</c:v>
                </c:pt>
                <c:pt idx="317">
                  <c:v>44148</c:v>
                </c:pt>
                <c:pt idx="318">
                  <c:v>44149</c:v>
                </c:pt>
                <c:pt idx="319">
                  <c:v>44150</c:v>
                </c:pt>
                <c:pt idx="320">
                  <c:v>44151</c:v>
                </c:pt>
                <c:pt idx="321">
                  <c:v>44152</c:v>
                </c:pt>
                <c:pt idx="322">
                  <c:v>44153</c:v>
                </c:pt>
                <c:pt idx="323">
                  <c:v>44154</c:v>
                </c:pt>
                <c:pt idx="324">
                  <c:v>44155</c:v>
                </c:pt>
                <c:pt idx="325">
                  <c:v>44156</c:v>
                </c:pt>
                <c:pt idx="326">
                  <c:v>44157</c:v>
                </c:pt>
                <c:pt idx="327">
                  <c:v>44158</c:v>
                </c:pt>
                <c:pt idx="328">
                  <c:v>44159</c:v>
                </c:pt>
                <c:pt idx="329">
                  <c:v>44160</c:v>
                </c:pt>
                <c:pt idx="330">
                  <c:v>44161</c:v>
                </c:pt>
                <c:pt idx="331">
                  <c:v>44162</c:v>
                </c:pt>
                <c:pt idx="332">
                  <c:v>44163</c:v>
                </c:pt>
                <c:pt idx="333">
                  <c:v>44164</c:v>
                </c:pt>
                <c:pt idx="334">
                  <c:v>44165</c:v>
                </c:pt>
                <c:pt idx="335">
                  <c:v>44166</c:v>
                </c:pt>
                <c:pt idx="336">
                  <c:v>44167</c:v>
                </c:pt>
                <c:pt idx="337">
                  <c:v>44168</c:v>
                </c:pt>
                <c:pt idx="338">
                  <c:v>44169</c:v>
                </c:pt>
                <c:pt idx="339">
                  <c:v>44170</c:v>
                </c:pt>
                <c:pt idx="340">
                  <c:v>44171</c:v>
                </c:pt>
                <c:pt idx="341">
                  <c:v>44172</c:v>
                </c:pt>
                <c:pt idx="342">
                  <c:v>44173</c:v>
                </c:pt>
                <c:pt idx="343">
                  <c:v>44174</c:v>
                </c:pt>
                <c:pt idx="344">
                  <c:v>44175</c:v>
                </c:pt>
                <c:pt idx="345">
                  <c:v>44176</c:v>
                </c:pt>
                <c:pt idx="346">
                  <c:v>44177</c:v>
                </c:pt>
                <c:pt idx="347">
                  <c:v>44178</c:v>
                </c:pt>
                <c:pt idx="348">
                  <c:v>44179</c:v>
                </c:pt>
                <c:pt idx="349">
                  <c:v>44180</c:v>
                </c:pt>
                <c:pt idx="350">
                  <c:v>44181</c:v>
                </c:pt>
                <c:pt idx="351">
                  <c:v>44182</c:v>
                </c:pt>
                <c:pt idx="352">
                  <c:v>44183</c:v>
                </c:pt>
                <c:pt idx="353">
                  <c:v>44184</c:v>
                </c:pt>
                <c:pt idx="354">
                  <c:v>44185</c:v>
                </c:pt>
                <c:pt idx="355">
                  <c:v>44186</c:v>
                </c:pt>
                <c:pt idx="356">
                  <c:v>44187</c:v>
                </c:pt>
                <c:pt idx="357">
                  <c:v>44188</c:v>
                </c:pt>
                <c:pt idx="358">
                  <c:v>44189</c:v>
                </c:pt>
                <c:pt idx="359">
                  <c:v>44190</c:v>
                </c:pt>
              </c:numCache>
            </c:numRef>
          </c:xVal>
          <c:yVal>
            <c:numRef>
              <c:f>'LH as published'!$B$33:$B$392</c:f>
              <c:numCache>
                <c:formatCode>0.00</c:formatCode>
                <c:ptCount val="360"/>
                <c:pt idx="0">
                  <c:v>0.85192535760595789</c:v>
                </c:pt>
                <c:pt idx="1">
                  <c:v>0.81849060081804437</c:v>
                </c:pt>
                <c:pt idx="2">
                  <c:v>0.76382291326053997</c:v>
                </c:pt>
                <c:pt idx="3">
                  <c:v>0.66897464702433629</c:v>
                </c:pt>
                <c:pt idx="4">
                  <c:v>0.59288100271403366</c:v>
                </c:pt>
                <c:pt idx="5">
                  <c:v>0.55271423508932471</c:v>
                </c:pt>
                <c:pt idx="6">
                  <c:v>0.51330519507098094</c:v>
                </c:pt>
                <c:pt idx="7">
                  <c:v>0.48587468988515498</c:v>
                </c:pt>
                <c:pt idx="8">
                  <c:v>0.49229751778890579</c:v>
                </c:pt>
                <c:pt idx="9">
                  <c:v>0.52930995477155551</c:v>
                </c:pt>
                <c:pt idx="10">
                  <c:v>1.2133494323944498</c:v>
                </c:pt>
                <c:pt idx="11">
                  <c:v>0.8497202444446591</c:v>
                </c:pt>
                <c:pt idx="12">
                  <c:v>0.74486570379831163</c:v>
                </c:pt>
                <c:pt idx="13">
                  <c:v>0.77130368174585173</c:v>
                </c:pt>
                <c:pt idx="14">
                  <c:v>0.75791870298967234</c:v>
                </c:pt>
                <c:pt idx="15">
                  <c:v>0.66029716277081307</c:v>
                </c:pt>
                <c:pt idx="16">
                  <c:v>0.58755296389431166</c:v>
                </c:pt>
                <c:pt idx="17">
                  <c:v>0.56660801423874407</c:v>
                </c:pt>
                <c:pt idx="18">
                  <c:v>0.50869100133830136</c:v>
                </c:pt>
                <c:pt idx="19">
                  <c:v>0.48262738536537969</c:v>
                </c:pt>
                <c:pt idx="20">
                  <c:v>0.45927977394038505</c:v>
                </c:pt>
                <c:pt idx="21">
                  <c:v>0.44284880849640934</c:v>
                </c:pt>
                <c:pt idx="22">
                  <c:v>0.46738558510500189</c:v>
                </c:pt>
                <c:pt idx="23">
                  <c:v>0.76050112180332452</c:v>
                </c:pt>
                <c:pt idx="24">
                  <c:v>0.87360986370156335</c:v>
                </c:pt>
                <c:pt idx="25">
                  <c:v>0.86305789450232784</c:v>
                </c:pt>
                <c:pt idx="26">
                  <c:v>0.78415227691585165</c:v>
                </c:pt>
                <c:pt idx="27">
                  <c:v>0.70436871118050226</c:v>
                </c:pt>
                <c:pt idx="28">
                  <c:v>0.64696564994048178</c:v>
                </c:pt>
                <c:pt idx="29">
                  <c:v>0.59985129294935591</c:v>
                </c:pt>
                <c:pt idx="30">
                  <c:v>0.57304656562056766</c:v>
                </c:pt>
                <c:pt idx="31">
                  <c:v>0.60137132149800587</c:v>
                </c:pt>
                <c:pt idx="32">
                  <c:v>0.85440539514242275</c:v>
                </c:pt>
                <c:pt idx="33">
                  <c:v>1.1294645182611676</c:v>
                </c:pt>
                <c:pt idx="34">
                  <c:v>0.9917471105773914</c:v>
                </c:pt>
                <c:pt idx="35">
                  <c:v>0.8053950149134802</c:v>
                </c:pt>
                <c:pt idx="36">
                  <c:v>0.69901503131928955</c:v>
                </c:pt>
                <c:pt idx="37">
                  <c:v>0.63163878914956928</c:v>
                </c:pt>
                <c:pt idx="38">
                  <c:v>0.57676412705900082</c:v>
                </c:pt>
                <c:pt idx="39">
                  <c:v>0.54689071213682705</c:v>
                </c:pt>
                <c:pt idx="40">
                  <c:v>0.55419815337065825</c:v>
                </c:pt>
                <c:pt idx="41">
                  <c:v>0.54023714714675497</c:v>
                </c:pt>
                <c:pt idx="42">
                  <c:v>0.50607011607994379</c:v>
                </c:pt>
                <c:pt idx="43">
                  <c:v>0.4946509582444461</c:v>
                </c:pt>
                <c:pt idx="44">
                  <c:v>0.47750266369589278</c:v>
                </c:pt>
                <c:pt idx="45">
                  <c:v>0.45970815700388101</c:v>
                </c:pt>
                <c:pt idx="46">
                  <c:v>0.45612197063272403</c:v>
                </c:pt>
                <c:pt idx="47">
                  <c:v>0.45664141651363127</c:v>
                </c:pt>
                <c:pt idx="48">
                  <c:v>0.64326985409503779</c:v>
                </c:pt>
                <c:pt idx="49">
                  <c:v>0.55577933042232786</c:v>
                </c:pt>
                <c:pt idx="50">
                  <c:v>0.50147285467356095</c:v>
                </c:pt>
                <c:pt idx="51">
                  <c:v>0.47334835461701985</c:v>
                </c:pt>
                <c:pt idx="52">
                  <c:v>0.50624933929991045</c:v>
                </c:pt>
                <c:pt idx="53">
                  <c:v>0.65085766674050249</c:v>
                </c:pt>
                <c:pt idx="54">
                  <c:v>0.67841427133624688</c:v>
                </c:pt>
                <c:pt idx="55">
                  <c:v>0.63033719533313937</c:v>
                </c:pt>
                <c:pt idx="56">
                  <c:v>0.60017161963954557</c:v>
                </c:pt>
                <c:pt idx="57">
                  <c:v>0.56199105175786235</c:v>
                </c:pt>
                <c:pt idx="58">
                  <c:v>0.53210338612492702</c:v>
                </c:pt>
                <c:pt idx="59">
                  <c:v>0.50214238186182081</c:v>
                </c:pt>
                <c:pt idx="60">
                  <c:v>0.57434666682329605</c:v>
                </c:pt>
                <c:pt idx="61">
                  <c:v>0.68483465787854636</c:v>
                </c:pt>
                <c:pt idx="62">
                  <c:v>0.68287094515386837</c:v>
                </c:pt>
                <c:pt idx="63">
                  <c:v>0.68368874074768682</c:v>
                </c:pt>
                <c:pt idx="64">
                  <c:v>0.71967919665909552</c:v>
                </c:pt>
                <c:pt idx="65">
                  <c:v>0.70363036393532397</c:v>
                </c:pt>
                <c:pt idx="66">
                  <c:v>0.66497366320291951</c:v>
                </c:pt>
                <c:pt idx="67">
                  <c:v>0.71159724057822127</c:v>
                </c:pt>
                <c:pt idx="68">
                  <c:v>1.0634072699848358</c:v>
                </c:pt>
                <c:pt idx="69">
                  <c:v>1.3838857072816706</c:v>
                </c:pt>
                <c:pt idx="70">
                  <c:v>1.09663130661492</c:v>
                </c:pt>
                <c:pt idx="71">
                  <c:v>0.93469573680923312</c:v>
                </c:pt>
                <c:pt idx="72">
                  <c:v>0.82940139738917906</c:v>
                </c:pt>
                <c:pt idx="73">
                  <c:v>0.74678201799460264</c:v>
                </c:pt>
                <c:pt idx="74">
                  <c:v>0.6869369575384664</c:v>
                </c:pt>
                <c:pt idx="75">
                  <c:v>0.63726708885455075</c:v>
                </c:pt>
                <c:pt idx="76">
                  <c:v>0.59539406529184757</c:v>
                </c:pt>
                <c:pt idx="77">
                  <c:v>0.60711234844078954</c:v>
                </c:pt>
                <c:pt idx="78">
                  <c:v>0.73744336902132046</c:v>
                </c:pt>
                <c:pt idx="79">
                  <c:v>1.3186097843450759</c:v>
                </c:pt>
                <c:pt idx="80">
                  <c:v>0.88187669220646747</c:v>
                </c:pt>
                <c:pt idx="81">
                  <c:v>0.80486804622803731</c:v>
                </c:pt>
                <c:pt idx="82">
                  <c:v>0.77390990097075052</c:v>
                </c:pt>
                <c:pt idx="83">
                  <c:v>0.70228570370193377</c:v>
                </c:pt>
                <c:pt idx="84">
                  <c:v>0.65792219249389783</c:v>
                </c:pt>
                <c:pt idx="85">
                  <c:v>0.6100041432717298</c:v>
                </c:pt>
                <c:pt idx="86">
                  <c:v>0.57458300462477951</c:v>
                </c:pt>
                <c:pt idx="87">
                  <c:v>1.4076920058263178</c:v>
                </c:pt>
                <c:pt idx="88">
                  <c:v>1.6521449367513892</c:v>
                </c:pt>
                <c:pt idx="89">
                  <c:v>1.0129065741265137</c:v>
                </c:pt>
                <c:pt idx="90">
                  <c:v>0.84679104395296145</c:v>
                </c:pt>
                <c:pt idx="91">
                  <c:v>0.7492055275600612</c:v>
                </c:pt>
                <c:pt idx="92">
                  <c:v>0.68201897983492132</c:v>
                </c:pt>
                <c:pt idx="93">
                  <c:v>0.63081292145514001</c:v>
                </c:pt>
                <c:pt idx="94">
                  <c:v>0.65536854139367839</c:v>
                </c:pt>
                <c:pt idx="95">
                  <c:v>0.59025468657163305</c:v>
                </c:pt>
                <c:pt idx="96">
                  <c:v>0.54707884300224874</c:v>
                </c:pt>
                <c:pt idx="97">
                  <c:v>0.55899870659998718</c:v>
                </c:pt>
                <c:pt idx="98">
                  <c:v>0.64744134616176818</c:v>
                </c:pt>
                <c:pt idx="99">
                  <c:v>0.64125333853712307</c:v>
                </c:pt>
                <c:pt idx="100">
                  <c:v>0.541806562010273</c:v>
                </c:pt>
                <c:pt idx="101">
                  <c:v>0.50351313759501393</c:v>
                </c:pt>
                <c:pt idx="102">
                  <c:v>0.50393633190379927</c:v>
                </c:pt>
                <c:pt idx="103">
                  <c:v>0.60967210167584718</c:v>
                </c:pt>
                <c:pt idx="104">
                  <c:v>0.49393861507341597</c:v>
                </c:pt>
                <c:pt idx="105">
                  <c:v>0.46721191018726421</c:v>
                </c:pt>
                <c:pt idx="106">
                  <c:v>0.44446209803551556</c:v>
                </c:pt>
                <c:pt idx="107">
                  <c:v>0.43934311843657636</c:v>
                </c:pt>
                <c:pt idx="108">
                  <c:v>0.4286062726701379</c:v>
                </c:pt>
                <c:pt idx="109">
                  <c:v>0.41394935395766358</c:v>
                </c:pt>
                <c:pt idx="110">
                  <c:v>0.41266230016667244</c:v>
                </c:pt>
                <c:pt idx="111">
                  <c:v>0.41202110384393337</c:v>
                </c:pt>
                <c:pt idx="112">
                  <c:v>0.39926408483107673</c:v>
                </c:pt>
                <c:pt idx="113">
                  <c:v>0.38036741372404176</c:v>
                </c:pt>
                <c:pt idx="114">
                  <c:v>0.37199439705109233</c:v>
                </c:pt>
                <c:pt idx="115">
                  <c:v>0.37072238691297565</c:v>
                </c:pt>
                <c:pt idx="116">
                  <c:v>0.37434070120702428</c:v>
                </c:pt>
                <c:pt idx="117">
                  <c:v>0.41553177087839105</c:v>
                </c:pt>
                <c:pt idx="118">
                  <c:v>0.49800931628838835</c:v>
                </c:pt>
                <c:pt idx="119">
                  <c:v>1.2240471826805173</c:v>
                </c:pt>
                <c:pt idx="120">
                  <c:v>2.4535543186222699</c:v>
                </c:pt>
                <c:pt idx="121">
                  <c:v>1.2193217829172076</c:v>
                </c:pt>
                <c:pt idx="122">
                  <c:v>0.9449929837560479</c:v>
                </c:pt>
                <c:pt idx="123">
                  <c:v>0.80389142363985711</c:v>
                </c:pt>
                <c:pt idx="124">
                  <c:v>0.74456649909244199</c:v>
                </c:pt>
                <c:pt idx="125">
                  <c:v>0.69318290031068708</c:v>
                </c:pt>
                <c:pt idx="126">
                  <c:v>0.65517450331985305</c:v>
                </c:pt>
                <c:pt idx="127">
                  <c:v>0.61574836233247965</c:v>
                </c:pt>
                <c:pt idx="128">
                  <c:v>0.60709992572109273</c:v>
                </c:pt>
                <c:pt idx="129">
                  <c:v>0.56519903109054415</c:v>
                </c:pt>
                <c:pt idx="130">
                  <c:v>0.57897278313535527</c:v>
                </c:pt>
                <c:pt idx="131">
                  <c:v>0.55462997470209585</c:v>
                </c:pt>
                <c:pt idx="132">
                  <c:v>0.53143521385542503</c:v>
                </c:pt>
                <c:pt idx="133">
                  <c:v>0.51160312847450118</c:v>
                </c:pt>
                <c:pt idx="134">
                  <c:v>0.66119506026329866</c:v>
                </c:pt>
                <c:pt idx="135">
                  <c:v>0.76933459922886061</c:v>
                </c:pt>
                <c:pt idx="136">
                  <c:v>0.60500577498888009</c:v>
                </c:pt>
                <c:pt idx="137">
                  <c:v>3.3599261358698711</c:v>
                </c:pt>
                <c:pt idx="138">
                  <c:v>3.5797367523728045</c:v>
                </c:pt>
                <c:pt idx="139">
                  <c:v>2.5723841438798165</c:v>
                </c:pt>
                <c:pt idx="140">
                  <c:v>1.6031583842629324</c:v>
                </c:pt>
                <c:pt idx="141">
                  <c:v>1.0609780750928222</c:v>
                </c:pt>
                <c:pt idx="142">
                  <c:v>0.86412419867110979</c:v>
                </c:pt>
                <c:pt idx="143">
                  <c:v>0.73682916642234264</c:v>
                </c:pt>
                <c:pt idx="144">
                  <c:v>0.68211490367855587</c:v>
                </c:pt>
                <c:pt idx="145">
                  <c:v>0.62940948365968474</c:v>
                </c:pt>
                <c:pt idx="146">
                  <c:v>0.61029121048552237</c:v>
                </c:pt>
                <c:pt idx="147">
                  <c:v>0.55201936050507527</c:v>
                </c:pt>
                <c:pt idx="148">
                  <c:v>0.5921584819654252</c:v>
                </c:pt>
                <c:pt idx="149">
                  <c:v>0.75137739444886398</c:v>
                </c:pt>
                <c:pt idx="150">
                  <c:v>0.56364326987571156</c:v>
                </c:pt>
                <c:pt idx="151">
                  <c:v>0.51312722932660559</c:v>
                </c:pt>
                <c:pt idx="152">
                  <c:v>0.48719337772765919</c:v>
                </c:pt>
                <c:pt idx="153">
                  <c:v>0.49014373992807481</c:v>
                </c:pt>
                <c:pt idx="154">
                  <c:v>0.59740995887872772</c:v>
                </c:pt>
                <c:pt idx="155">
                  <c:v>0.4803562288031995</c:v>
                </c:pt>
                <c:pt idx="156">
                  <c:v>0.52471157364395216</c:v>
                </c:pt>
                <c:pt idx="157">
                  <c:v>0.4805355630186427</c:v>
                </c:pt>
                <c:pt idx="158">
                  <c:v>0.44028329731060373</c:v>
                </c:pt>
                <c:pt idx="159">
                  <c:v>0.41989478170499717</c:v>
                </c:pt>
                <c:pt idx="160">
                  <c:v>0.46170702684025322</c:v>
                </c:pt>
                <c:pt idx="161">
                  <c:v>0.66621363919419629</c:v>
                </c:pt>
                <c:pt idx="162">
                  <c:v>0.60882897438192429</c:v>
                </c:pt>
                <c:pt idx="163">
                  <c:v>0.45807485655158658</c:v>
                </c:pt>
                <c:pt idx="164">
                  <c:v>0.40669036072192372</c:v>
                </c:pt>
                <c:pt idx="165">
                  <c:v>0.37969634317212614</c:v>
                </c:pt>
                <c:pt idx="166">
                  <c:v>0.37573930770628944</c:v>
                </c:pt>
                <c:pt idx="167">
                  <c:v>0.3664651462138015</c:v>
                </c:pt>
                <c:pt idx="168">
                  <c:v>0.37044326653852228</c:v>
                </c:pt>
                <c:pt idx="169">
                  <c:v>0.36177540387296198</c:v>
                </c:pt>
                <c:pt idx="170">
                  <c:v>0.35196331662254776</c:v>
                </c:pt>
                <c:pt idx="171">
                  <c:v>0.3738675838533867</c:v>
                </c:pt>
                <c:pt idx="172">
                  <c:v>0.35534969359687524</c:v>
                </c:pt>
                <c:pt idx="173">
                  <c:v>0.50432156472992207</c:v>
                </c:pt>
                <c:pt idx="174">
                  <c:v>1.0868513591300217</c:v>
                </c:pt>
                <c:pt idx="175">
                  <c:v>0.70341507310861662</c:v>
                </c:pt>
                <c:pt idx="176">
                  <c:v>0.48438270633145614</c:v>
                </c:pt>
                <c:pt idx="177">
                  <c:v>0.58420376134806673</c:v>
                </c:pt>
                <c:pt idx="178">
                  <c:v>0.64157032000342518</c:v>
                </c:pt>
                <c:pt idx="179">
                  <c:v>0.46208165397585726</c:v>
                </c:pt>
                <c:pt idx="180">
                  <c:v>0.47553987154404748</c:v>
                </c:pt>
                <c:pt idx="181">
                  <c:v>0.54529270789622308</c:v>
                </c:pt>
                <c:pt idx="182">
                  <c:v>0.52906422217022109</c:v>
                </c:pt>
                <c:pt idx="183">
                  <c:v>0.51093286049700237</c:v>
                </c:pt>
                <c:pt idx="184">
                  <c:v>0.50941438255292459</c:v>
                </c:pt>
                <c:pt idx="185">
                  <c:v>0.47058411604302103</c:v>
                </c:pt>
                <c:pt idx="186">
                  <c:v>0.46733722419066659</c:v>
                </c:pt>
                <c:pt idx="187">
                  <c:v>0.48774175974956813</c:v>
                </c:pt>
                <c:pt idx="188">
                  <c:v>0.57408733492450292</c:v>
                </c:pt>
                <c:pt idx="189">
                  <c:v>0.61010114000629001</c:v>
                </c:pt>
                <c:pt idx="190">
                  <c:v>0.86852241162162569</c:v>
                </c:pt>
                <c:pt idx="191">
                  <c:v>2.0097938767658596</c:v>
                </c:pt>
                <c:pt idx="192">
                  <c:v>0.93174270761285183</c:v>
                </c:pt>
                <c:pt idx="193">
                  <c:v>0.66526323037684587</c:v>
                </c:pt>
                <c:pt idx="194">
                  <c:v>0.56945466170315118</c:v>
                </c:pt>
                <c:pt idx="195">
                  <c:v>0.54264755313976887</c:v>
                </c:pt>
                <c:pt idx="196">
                  <c:v>1.1672449577906416</c:v>
                </c:pt>
                <c:pt idx="197">
                  <c:v>1.7799801917795388</c:v>
                </c:pt>
                <c:pt idx="198">
                  <c:v>0.9902393008591831</c:v>
                </c:pt>
                <c:pt idx="199">
                  <c:v>0.78705037153942736</c:v>
                </c:pt>
                <c:pt idx="200">
                  <c:v>0.69521549566259822</c:v>
                </c:pt>
                <c:pt idx="201">
                  <c:v>0.60852282114502876</c:v>
                </c:pt>
                <c:pt idx="202">
                  <c:v>0.55196291657028629</c:v>
                </c:pt>
                <c:pt idx="203">
                  <c:v>0.53574072076010826</c:v>
                </c:pt>
                <c:pt idx="204">
                  <c:v>0.49023961319616643</c:v>
                </c:pt>
                <c:pt idx="205">
                  <c:v>0.46105264120186251</c:v>
                </c:pt>
                <c:pt idx="206">
                  <c:v>0.4451062300734574</c:v>
                </c:pt>
                <c:pt idx="207">
                  <c:v>0.48876563239361981</c:v>
                </c:pt>
                <c:pt idx="208">
                  <c:v>0.47330776337120262</c:v>
                </c:pt>
                <c:pt idx="209">
                  <c:v>0.4469664676166501</c:v>
                </c:pt>
                <c:pt idx="210">
                  <c:v>0.44293574880517822</c:v>
                </c:pt>
                <c:pt idx="211">
                  <c:v>0.42146945009695663</c:v>
                </c:pt>
                <c:pt idx="212">
                  <c:v>0.42500181539521864</c:v>
                </c:pt>
                <c:pt idx="213">
                  <c:v>0.40892750687957752</c:v>
                </c:pt>
                <c:pt idx="214">
                  <c:v>0.53237811187128314</c:v>
                </c:pt>
                <c:pt idx="215">
                  <c:v>0.55549209301112124</c:v>
                </c:pt>
                <c:pt idx="216">
                  <c:v>0.45632565226302901</c:v>
                </c:pt>
                <c:pt idx="217">
                  <c:v>0.44277731496653416</c:v>
                </c:pt>
                <c:pt idx="218">
                  <c:v>0.41366319943217356</c:v>
                </c:pt>
                <c:pt idx="219">
                  <c:v>0.41553458307866326</c:v>
                </c:pt>
                <c:pt idx="220">
                  <c:v>0.41168757125431044</c:v>
                </c:pt>
                <c:pt idx="221">
                  <c:v>0.53197825430486612</c:v>
                </c:pt>
                <c:pt idx="222">
                  <c:v>0.58341106444479263</c:v>
                </c:pt>
                <c:pt idx="223">
                  <c:v>0.48937802849541301</c:v>
                </c:pt>
                <c:pt idx="224">
                  <c:v>0.42269178797705104</c:v>
                </c:pt>
                <c:pt idx="225">
                  <c:v>0.40376875274673923</c:v>
                </c:pt>
                <c:pt idx="226">
                  <c:v>0.38473682255269442</c:v>
                </c:pt>
                <c:pt idx="227">
                  <c:v>0.36535579252539424</c:v>
                </c:pt>
                <c:pt idx="228">
                  <c:v>0.3627248396768597</c:v>
                </c:pt>
                <c:pt idx="229">
                  <c:v>0.35233910336050323</c:v>
                </c:pt>
                <c:pt idx="230">
                  <c:v>0.35355720613379216</c:v>
                </c:pt>
                <c:pt idx="231">
                  <c:v>0.36311540374683421</c:v>
                </c:pt>
                <c:pt idx="232">
                  <c:v>0.35537349883607167</c:v>
                </c:pt>
                <c:pt idx="233">
                  <c:v>0.35822159894666544</c:v>
                </c:pt>
                <c:pt idx="234">
                  <c:v>0.33185394813535057</c:v>
                </c:pt>
                <c:pt idx="235">
                  <c:v>0.3319861284447278</c:v>
                </c:pt>
                <c:pt idx="236">
                  <c:v>0.33861435597611639</c:v>
                </c:pt>
                <c:pt idx="237">
                  <c:v>0.98225843492657416</c:v>
                </c:pt>
                <c:pt idx="238">
                  <c:v>0.53700877651340495</c:v>
                </c:pt>
                <c:pt idx="239">
                  <c:v>0.57620954708862304</c:v>
                </c:pt>
                <c:pt idx="240">
                  <c:v>0.7357925729794067</c:v>
                </c:pt>
                <c:pt idx="241">
                  <c:v>0.65958122979845413</c:v>
                </c:pt>
                <c:pt idx="242">
                  <c:v>0.45549081673298764</c:v>
                </c:pt>
                <c:pt idx="243">
                  <c:v>0.41493024037798421</c:v>
                </c:pt>
                <c:pt idx="244">
                  <c:v>0.38555365975412648</c:v>
                </c:pt>
                <c:pt idx="245">
                  <c:v>0.61979521936282722</c:v>
                </c:pt>
                <c:pt idx="246">
                  <c:v>0.43393076377385681</c:v>
                </c:pt>
                <c:pt idx="247">
                  <c:v>0.3961719460926742</c:v>
                </c:pt>
                <c:pt idx="248">
                  <c:v>0.36584469016684312</c:v>
                </c:pt>
                <c:pt idx="249">
                  <c:v>0.36418077925284087</c:v>
                </c:pt>
                <c:pt idx="250">
                  <c:v>0.35171952040190813</c:v>
                </c:pt>
                <c:pt idx="251">
                  <c:v>0.63931912016996373</c:v>
                </c:pt>
                <c:pt idx="252">
                  <c:v>0.70196606259242511</c:v>
                </c:pt>
                <c:pt idx="253">
                  <c:v>0.85432166061878678</c:v>
                </c:pt>
                <c:pt idx="254">
                  <c:v>0.88756819379921004</c:v>
                </c:pt>
                <c:pt idx="255">
                  <c:v>1.2745304260948724</c:v>
                </c:pt>
                <c:pt idx="256">
                  <c:v>0.78616918430453575</c:v>
                </c:pt>
                <c:pt idx="257">
                  <c:v>0.57690026787591897</c:v>
                </c:pt>
                <c:pt idx="258">
                  <c:v>0.49109454433463195</c:v>
                </c:pt>
                <c:pt idx="259">
                  <c:v>0.44682164539829311</c:v>
                </c:pt>
                <c:pt idx="260">
                  <c:v>0.41778120615490272</c:v>
                </c:pt>
                <c:pt idx="261">
                  <c:v>0.41690604581775964</c:v>
                </c:pt>
                <c:pt idx="262">
                  <c:v>0.38708106695045735</c:v>
                </c:pt>
                <c:pt idx="263">
                  <c:v>0.36590069251669027</c:v>
                </c:pt>
                <c:pt idx="264">
                  <c:v>0.36929734818729459</c:v>
                </c:pt>
                <c:pt idx="265">
                  <c:v>0.39230211624391381</c:v>
                </c:pt>
                <c:pt idx="266">
                  <c:v>0.42348198847571489</c:v>
                </c:pt>
                <c:pt idx="267">
                  <c:v>0.37129016587624775</c:v>
                </c:pt>
                <c:pt idx="268">
                  <c:v>0.37273357664269602</c:v>
                </c:pt>
                <c:pt idx="269">
                  <c:v>0.36229858009695753</c:v>
                </c:pt>
                <c:pt idx="270">
                  <c:v>0.37663745313663388</c:v>
                </c:pt>
                <c:pt idx="271">
                  <c:v>0.51676773725918634</c:v>
                </c:pt>
                <c:pt idx="272">
                  <c:v>0.45034361035931908</c:v>
                </c:pt>
                <c:pt idx="273">
                  <c:v>0.41905886707324519</c:v>
                </c:pt>
                <c:pt idx="274">
                  <c:v>0.50195505281761865</c:v>
                </c:pt>
                <c:pt idx="275">
                  <c:v>0.5133544800107056</c:v>
                </c:pt>
                <c:pt idx="276">
                  <c:v>0.52351120321377964</c:v>
                </c:pt>
                <c:pt idx="277">
                  <c:v>0.57216916438795229</c:v>
                </c:pt>
                <c:pt idx="278">
                  <c:v>0.40631697721469795</c:v>
                </c:pt>
                <c:pt idx="279">
                  <c:v>0.36799375646975702</c:v>
                </c:pt>
                <c:pt idx="280">
                  <c:v>0.29525566108689194</c:v>
                </c:pt>
                <c:pt idx="281">
                  <c:v>0.23703072738863598</c:v>
                </c:pt>
                <c:pt idx="282">
                  <c:v>0.24422187812367782</c:v>
                </c:pt>
                <c:pt idx="283">
                  <c:v>0.23607057171261811</c:v>
                </c:pt>
                <c:pt idx="284">
                  <c:v>0.23286488400760766</c:v>
                </c:pt>
                <c:pt idx="285">
                  <c:v>0.36493024175159411</c:v>
                </c:pt>
                <c:pt idx="286">
                  <c:v>0.27026438798393854</c:v>
                </c:pt>
                <c:pt idx="287">
                  <c:v>0.2462260632114964</c:v>
                </c:pt>
                <c:pt idx="288">
                  <c:v>0.2372886968080368</c:v>
                </c:pt>
                <c:pt idx="289">
                  <c:v>0.22871083625605318</c:v>
                </c:pt>
                <c:pt idx="290">
                  <c:v>0.22162108463524047</c:v>
                </c:pt>
                <c:pt idx="291">
                  <c:v>0.3289873127095661</c:v>
                </c:pt>
                <c:pt idx="292">
                  <c:v>0.25721216787316942</c:v>
                </c:pt>
                <c:pt idx="293">
                  <c:v>0.22374377582606519</c:v>
                </c:pt>
                <c:pt idx="294">
                  <c:v>0.27407134929023297</c:v>
                </c:pt>
                <c:pt idx="295">
                  <c:v>1.1475482027824273</c:v>
                </c:pt>
                <c:pt idx="296">
                  <c:v>1.0980834525706926</c:v>
                </c:pt>
                <c:pt idx="297">
                  <c:v>0.65500366255889508</c:v>
                </c:pt>
                <c:pt idx="298">
                  <c:v>0.45263634384371337</c:v>
                </c:pt>
                <c:pt idx="299">
                  <c:v>0.40667036581002991</c:v>
                </c:pt>
                <c:pt idx="300">
                  <c:v>0.3885607170470331</c:v>
                </c:pt>
                <c:pt idx="301">
                  <c:v>0.34515003045654086</c:v>
                </c:pt>
                <c:pt idx="302">
                  <c:v>0.33345007809440869</c:v>
                </c:pt>
                <c:pt idx="303">
                  <c:v>0.32397075206082859</c:v>
                </c:pt>
                <c:pt idx="304">
                  <c:v>0.31776041495243507</c:v>
                </c:pt>
                <c:pt idx="305">
                  <c:v>0.29685431004512841</c:v>
                </c:pt>
                <c:pt idx="306">
                  <c:v>0.31050454104141573</c:v>
                </c:pt>
                <c:pt idx="307">
                  <c:v>0.29753032471424068</c:v>
                </c:pt>
                <c:pt idx="308">
                  <c:v>0.29834160976542823</c:v>
                </c:pt>
                <c:pt idx="309">
                  <c:v>0.26777806874876159</c:v>
                </c:pt>
                <c:pt idx="310">
                  <c:v>0.26827838741962612</c:v>
                </c:pt>
                <c:pt idx="311">
                  <c:v>0.24552599957060126</c:v>
                </c:pt>
                <c:pt idx="312">
                  <c:v>0.2734559832429902</c:v>
                </c:pt>
                <c:pt idx="313">
                  <c:v>0.23935474992464531</c:v>
                </c:pt>
                <c:pt idx="314">
                  <c:v>0.30120557325810349</c:v>
                </c:pt>
                <c:pt idx="315">
                  <c:v>0.31377388490559138</c:v>
                </c:pt>
                <c:pt idx="316">
                  <c:v>0.28662749597495585</c:v>
                </c:pt>
                <c:pt idx="317">
                  <c:v>0.26729403109927635</c:v>
                </c:pt>
                <c:pt idx="318">
                  <c:v>0.26413839301897379</c:v>
                </c:pt>
                <c:pt idx="319">
                  <c:v>0.40351570498675088</c:v>
                </c:pt>
                <c:pt idx="320">
                  <c:v>0.29397692664689928</c:v>
                </c:pt>
                <c:pt idx="321">
                  <c:v>0.27674250260201888</c:v>
                </c:pt>
                <c:pt idx="322">
                  <c:v>0.24354663838562862</c:v>
                </c:pt>
                <c:pt idx="323">
                  <c:v>0.24391990684307366</c:v>
                </c:pt>
                <c:pt idx="324">
                  <c:v>0.23829671786444398</c:v>
                </c:pt>
                <c:pt idx="325">
                  <c:v>0.25079473873284391</c:v>
                </c:pt>
                <c:pt idx="326">
                  <c:v>0.25393648859946494</c:v>
                </c:pt>
                <c:pt idx="327">
                  <c:v>0.25260814734355985</c:v>
                </c:pt>
                <c:pt idx="328">
                  <c:v>0.51471417357078753</c:v>
                </c:pt>
                <c:pt idx="329">
                  <c:v>1.0925447577173439</c:v>
                </c:pt>
                <c:pt idx="330">
                  <c:v>0.90711113320091485</c:v>
                </c:pt>
                <c:pt idx="331">
                  <c:v>0.60145555756188085</c:v>
                </c:pt>
                <c:pt idx="332">
                  <c:v>0.45350215392969129</c:v>
                </c:pt>
                <c:pt idx="333">
                  <c:v>0.39035248607774159</c:v>
                </c:pt>
                <c:pt idx="334">
                  <c:v>0.3476555135050175</c:v>
                </c:pt>
                <c:pt idx="335">
                  <c:v>0.32620370997277448</c:v>
                </c:pt>
                <c:pt idx="336">
                  <c:v>0.31957792238571442</c:v>
                </c:pt>
                <c:pt idx="337">
                  <c:v>0.29971773686037967</c:v>
                </c:pt>
                <c:pt idx="338">
                  <c:v>0.30484142829225264</c:v>
                </c:pt>
                <c:pt idx="339">
                  <c:v>0.29954356651120106</c:v>
                </c:pt>
                <c:pt idx="340">
                  <c:v>0.29570558478844761</c:v>
                </c:pt>
                <c:pt idx="341">
                  <c:v>0.28285828225890525</c:v>
                </c:pt>
                <c:pt idx="342">
                  <c:v>0.28032351306021014</c:v>
                </c:pt>
                <c:pt idx="343">
                  <c:v>0.27123865962116339</c:v>
                </c:pt>
                <c:pt idx="344">
                  <c:v>0.27020623655704673</c:v>
                </c:pt>
                <c:pt idx="345">
                  <c:v>0.37661694233124798</c:v>
                </c:pt>
                <c:pt idx="346">
                  <c:v>1.6420432814931445</c:v>
                </c:pt>
                <c:pt idx="347">
                  <c:v>0.95381117274173999</c:v>
                </c:pt>
                <c:pt idx="348">
                  <c:v>0.6934728982286007</c:v>
                </c:pt>
                <c:pt idx="349">
                  <c:v>0.49526365789205268</c:v>
                </c:pt>
                <c:pt idx="350">
                  <c:v>0.44506123255176316</c:v>
                </c:pt>
                <c:pt idx="351">
                  <c:v>0.39787493600212986</c:v>
                </c:pt>
                <c:pt idx="352">
                  <c:v>0.35763424662213034</c:v>
                </c:pt>
                <c:pt idx="353">
                  <c:v>0.35218165211293789</c:v>
                </c:pt>
                <c:pt idx="354">
                  <c:v>0.34583177892502498</c:v>
                </c:pt>
                <c:pt idx="355">
                  <c:v>0.3245401853015672</c:v>
                </c:pt>
                <c:pt idx="356">
                  <c:v>0.31764874876178623</c:v>
                </c:pt>
                <c:pt idx="357">
                  <c:v>0.32599420610084623</c:v>
                </c:pt>
                <c:pt idx="358">
                  <c:v>0.30276260261793558</c:v>
                </c:pt>
                <c:pt idx="359">
                  <c:v>0.27503039600379453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25-4AC3-ADC9-DF3E09804473}"/>
            </c:ext>
          </c:extLst>
        </c:ser>
        <c:ser>
          <c:idx val="1"/>
          <c:order val="1"/>
          <c:tx>
            <c:v>Baseflow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'LH as published'!$A$33:$A$392</c:f>
              <c:numCache>
                <c:formatCode>m/d/yyyy</c:formatCode>
                <c:ptCount val="360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  <c:pt idx="180">
                  <c:v>44011</c:v>
                </c:pt>
                <c:pt idx="181">
                  <c:v>44012</c:v>
                </c:pt>
                <c:pt idx="182">
                  <c:v>44013</c:v>
                </c:pt>
                <c:pt idx="183">
                  <c:v>44014</c:v>
                </c:pt>
                <c:pt idx="184">
                  <c:v>44015</c:v>
                </c:pt>
                <c:pt idx="185">
                  <c:v>44016</c:v>
                </c:pt>
                <c:pt idx="186">
                  <c:v>44017</c:v>
                </c:pt>
                <c:pt idx="187">
                  <c:v>44018</c:v>
                </c:pt>
                <c:pt idx="188">
                  <c:v>44019</c:v>
                </c:pt>
                <c:pt idx="189">
                  <c:v>44020</c:v>
                </c:pt>
                <c:pt idx="190">
                  <c:v>44021</c:v>
                </c:pt>
                <c:pt idx="191">
                  <c:v>44022</c:v>
                </c:pt>
                <c:pt idx="192">
                  <c:v>44023</c:v>
                </c:pt>
                <c:pt idx="193">
                  <c:v>44024</c:v>
                </c:pt>
                <c:pt idx="194">
                  <c:v>44025</c:v>
                </c:pt>
                <c:pt idx="195">
                  <c:v>44026</c:v>
                </c:pt>
                <c:pt idx="196">
                  <c:v>44027</c:v>
                </c:pt>
                <c:pt idx="197">
                  <c:v>44028</c:v>
                </c:pt>
                <c:pt idx="198">
                  <c:v>44029</c:v>
                </c:pt>
                <c:pt idx="199">
                  <c:v>44030</c:v>
                </c:pt>
                <c:pt idx="200">
                  <c:v>44031</c:v>
                </c:pt>
                <c:pt idx="201">
                  <c:v>44032</c:v>
                </c:pt>
                <c:pt idx="202">
                  <c:v>44033</c:v>
                </c:pt>
                <c:pt idx="203">
                  <c:v>44034</c:v>
                </c:pt>
                <c:pt idx="204">
                  <c:v>44035</c:v>
                </c:pt>
                <c:pt idx="205">
                  <c:v>44036</c:v>
                </c:pt>
                <c:pt idx="206">
                  <c:v>44037</c:v>
                </c:pt>
                <c:pt idx="207">
                  <c:v>44038</c:v>
                </c:pt>
                <c:pt idx="208">
                  <c:v>44039</c:v>
                </c:pt>
                <c:pt idx="209">
                  <c:v>44040</c:v>
                </c:pt>
                <c:pt idx="210">
                  <c:v>44041</c:v>
                </c:pt>
                <c:pt idx="211">
                  <c:v>44042</c:v>
                </c:pt>
                <c:pt idx="212">
                  <c:v>44043</c:v>
                </c:pt>
                <c:pt idx="213">
                  <c:v>44044</c:v>
                </c:pt>
                <c:pt idx="214">
                  <c:v>44045</c:v>
                </c:pt>
                <c:pt idx="215">
                  <c:v>44046</c:v>
                </c:pt>
                <c:pt idx="216">
                  <c:v>44047</c:v>
                </c:pt>
                <c:pt idx="217">
                  <c:v>44048</c:v>
                </c:pt>
                <c:pt idx="218">
                  <c:v>44049</c:v>
                </c:pt>
                <c:pt idx="219">
                  <c:v>44050</c:v>
                </c:pt>
                <c:pt idx="220">
                  <c:v>44051</c:v>
                </c:pt>
                <c:pt idx="221">
                  <c:v>44052</c:v>
                </c:pt>
                <c:pt idx="222">
                  <c:v>44053</c:v>
                </c:pt>
                <c:pt idx="223">
                  <c:v>44054</c:v>
                </c:pt>
                <c:pt idx="224">
                  <c:v>44055</c:v>
                </c:pt>
                <c:pt idx="225">
                  <c:v>44056</c:v>
                </c:pt>
                <c:pt idx="226">
                  <c:v>44057</c:v>
                </c:pt>
                <c:pt idx="227">
                  <c:v>44058</c:v>
                </c:pt>
                <c:pt idx="228">
                  <c:v>44059</c:v>
                </c:pt>
                <c:pt idx="229">
                  <c:v>44060</c:v>
                </c:pt>
                <c:pt idx="230">
                  <c:v>44061</c:v>
                </c:pt>
                <c:pt idx="231">
                  <c:v>44062</c:v>
                </c:pt>
                <c:pt idx="232">
                  <c:v>44063</c:v>
                </c:pt>
                <c:pt idx="233">
                  <c:v>44064</c:v>
                </c:pt>
                <c:pt idx="234">
                  <c:v>44065</c:v>
                </c:pt>
                <c:pt idx="235">
                  <c:v>44066</c:v>
                </c:pt>
                <c:pt idx="236">
                  <c:v>44067</c:v>
                </c:pt>
                <c:pt idx="237">
                  <c:v>44068</c:v>
                </c:pt>
                <c:pt idx="238">
                  <c:v>44069</c:v>
                </c:pt>
                <c:pt idx="239">
                  <c:v>44070</c:v>
                </c:pt>
                <c:pt idx="240">
                  <c:v>44071</c:v>
                </c:pt>
                <c:pt idx="241">
                  <c:v>44072</c:v>
                </c:pt>
                <c:pt idx="242">
                  <c:v>44073</c:v>
                </c:pt>
                <c:pt idx="243">
                  <c:v>44074</c:v>
                </c:pt>
                <c:pt idx="244">
                  <c:v>44075</c:v>
                </c:pt>
                <c:pt idx="245">
                  <c:v>44076</c:v>
                </c:pt>
                <c:pt idx="246">
                  <c:v>44077</c:v>
                </c:pt>
                <c:pt idx="247">
                  <c:v>44078</c:v>
                </c:pt>
                <c:pt idx="248">
                  <c:v>44079</c:v>
                </c:pt>
                <c:pt idx="249">
                  <c:v>44080</c:v>
                </c:pt>
                <c:pt idx="250">
                  <c:v>44081</c:v>
                </c:pt>
                <c:pt idx="251">
                  <c:v>44082</c:v>
                </c:pt>
                <c:pt idx="252">
                  <c:v>44083</c:v>
                </c:pt>
                <c:pt idx="253">
                  <c:v>44084</c:v>
                </c:pt>
                <c:pt idx="254">
                  <c:v>44085</c:v>
                </c:pt>
                <c:pt idx="255">
                  <c:v>44086</c:v>
                </c:pt>
                <c:pt idx="256">
                  <c:v>44087</c:v>
                </c:pt>
                <c:pt idx="257">
                  <c:v>44088</c:v>
                </c:pt>
                <c:pt idx="258">
                  <c:v>44089</c:v>
                </c:pt>
                <c:pt idx="259">
                  <c:v>44090</c:v>
                </c:pt>
                <c:pt idx="260">
                  <c:v>44091</c:v>
                </c:pt>
                <c:pt idx="261">
                  <c:v>44092</c:v>
                </c:pt>
                <c:pt idx="262">
                  <c:v>44093</c:v>
                </c:pt>
                <c:pt idx="263">
                  <c:v>44094</c:v>
                </c:pt>
                <c:pt idx="264">
                  <c:v>44095</c:v>
                </c:pt>
                <c:pt idx="265">
                  <c:v>44096</c:v>
                </c:pt>
                <c:pt idx="266">
                  <c:v>44097</c:v>
                </c:pt>
                <c:pt idx="267">
                  <c:v>44098</c:v>
                </c:pt>
                <c:pt idx="268">
                  <c:v>44099</c:v>
                </c:pt>
                <c:pt idx="269">
                  <c:v>44100</c:v>
                </c:pt>
                <c:pt idx="270">
                  <c:v>44101</c:v>
                </c:pt>
                <c:pt idx="271">
                  <c:v>44102</c:v>
                </c:pt>
                <c:pt idx="272">
                  <c:v>44103</c:v>
                </c:pt>
                <c:pt idx="273">
                  <c:v>44104</c:v>
                </c:pt>
                <c:pt idx="274">
                  <c:v>44105</c:v>
                </c:pt>
                <c:pt idx="275">
                  <c:v>44106</c:v>
                </c:pt>
                <c:pt idx="276">
                  <c:v>44107</c:v>
                </c:pt>
                <c:pt idx="277">
                  <c:v>44108</c:v>
                </c:pt>
                <c:pt idx="278">
                  <c:v>44109</c:v>
                </c:pt>
                <c:pt idx="279">
                  <c:v>44110</c:v>
                </c:pt>
                <c:pt idx="280">
                  <c:v>44111</c:v>
                </c:pt>
                <c:pt idx="281">
                  <c:v>44112</c:v>
                </c:pt>
                <c:pt idx="282">
                  <c:v>44113</c:v>
                </c:pt>
                <c:pt idx="283">
                  <c:v>44114</c:v>
                </c:pt>
                <c:pt idx="284">
                  <c:v>44115</c:v>
                </c:pt>
                <c:pt idx="285">
                  <c:v>44116</c:v>
                </c:pt>
                <c:pt idx="286">
                  <c:v>44117</c:v>
                </c:pt>
                <c:pt idx="287">
                  <c:v>44118</c:v>
                </c:pt>
                <c:pt idx="288">
                  <c:v>44119</c:v>
                </c:pt>
                <c:pt idx="289">
                  <c:v>44120</c:v>
                </c:pt>
                <c:pt idx="290">
                  <c:v>44121</c:v>
                </c:pt>
                <c:pt idx="291">
                  <c:v>44122</c:v>
                </c:pt>
                <c:pt idx="292">
                  <c:v>44123</c:v>
                </c:pt>
                <c:pt idx="293">
                  <c:v>44124</c:v>
                </c:pt>
                <c:pt idx="294">
                  <c:v>44125</c:v>
                </c:pt>
                <c:pt idx="295">
                  <c:v>44126</c:v>
                </c:pt>
                <c:pt idx="296">
                  <c:v>44127</c:v>
                </c:pt>
                <c:pt idx="297">
                  <c:v>44128</c:v>
                </c:pt>
                <c:pt idx="298">
                  <c:v>44129</c:v>
                </c:pt>
                <c:pt idx="299">
                  <c:v>44130</c:v>
                </c:pt>
                <c:pt idx="300">
                  <c:v>44131</c:v>
                </c:pt>
                <c:pt idx="301">
                  <c:v>44132</c:v>
                </c:pt>
                <c:pt idx="302">
                  <c:v>44133</c:v>
                </c:pt>
                <c:pt idx="303">
                  <c:v>44134</c:v>
                </c:pt>
                <c:pt idx="304">
                  <c:v>44135</c:v>
                </c:pt>
                <c:pt idx="305">
                  <c:v>44136</c:v>
                </c:pt>
                <c:pt idx="306">
                  <c:v>44137</c:v>
                </c:pt>
                <c:pt idx="307">
                  <c:v>44138</c:v>
                </c:pt>
                <c:pt idx="308">
                  <c:v>44139</c:v>
                </c:pt>
                <c:pt idx="309">
                  <c:v>44140</c:v>
                </c:pt>
                <c:pt idx="310">
                  <c:v>44141</c:v>
                </c:pt>
                <c:pt idx="311">
                  <c:v>44142</c:v>
                </c:pt>
                <c:pt idx="312">
                  <c:v>44143</c:v>
                </c:pt>
                <c:pt idx="313">
                  <c:v>44144</c:v>
                </c:pt>
                <c:pt idx="314">
                  <c:v>44145</c:v>
                </c:pt>
                <c:pt idx="315">
                  <c:v>44146</c:v>
                </c:pt>
                <c:pt idx="316">
                  <c:v>44147</c:v>
                </c:pt>
                <c:pt idx="317">
                  <c:v>44148</c:v>
                </c:pt>
                <c:pt idx="318">
                  <c:v>44149</c:v>
                </c:pt>
                <c:pt idx="319">
                  <c:v>44150</c:v>
                </c:pt>
                <c:pt idx="320">
                  <c:v>44151</c:v>
                </c:pt>
                <c:pt idx="321">
                  <c:v>44152</c:v>
                </c:pt>
                <c:pt idx="322">
                  <c:v>44153</c:v>
                </c:pt>
                <c:pt idx="323">
                  <c:v>44154</c:v>
                </c:pt>
                <c:pt idx="324">
                  <c:v>44155</c:v>
                </c:pt>
                <c:pt idx="325">
                  <c:v>44156</c:v>
                </c:pt>
                <c:pt idx="326">
                  <c:v>44157</c:v>
                </c:pt>
                <c:pt idx="327">
                  <c:v>44158</c:v>
                </c:pt>
                <c:pt idx="328">
                  <c:v>44159</c:v>
                </c:pt>
                <c:pt idx="329">
                  <c:v>44160</c:v>
                </c:pt>
                <c:pt idx="330">
                  <c:v>44161</c:v>
                </c:pt>
                <c:pt idx="331">
                  <c:v>44162</c:v>
                </c:pt>
                <c:pt idx="332">
                  <c:v>44163</c:v>
                </c:pt>
                <c:pt idx="333">
                  <c:v>44164</c:v>
                </c:pt>
                <c:pt idx="334">
                  <c:v>44165</c:v>
                </c:pt>
                <c:pt idx="335">
                  <c:v>44166</c:v>
                </c:pt>
                <c:pt idx="336">
                  <c:v>44167</c:v>
                </c:pt>
                <c:pt idx="337">
                  <c:v>44168</c:v>
                </c:pt>
                <c:pt idx="338">
                  <c:v>44169</c:v>
                </c:pt>
                <c:pt idx="339">
                  <c:v>44170</c:v>
                </c:pt>
                <c:pt idx="340">
                  <c:v>44171</c:v>
                </c:pt>
                <c:pt idx="341">
                  <c:v>44172</c:v>
                </c:pt>
                <c:pt idx="342">
                  <c:v>44173</c:v>
                </c:pt>
                <c:pt idx="343">
                  <c:v>44174</c:v>
                </c:pt>
                <c:pt idx="344">
                  <c:v>44175</c:v>
                </c:pt>
                <c:pt idx="345">
                  <c:v>44176</c:v>
                </c:pt>
                <c:pt idx="346">
                  <c:v>44177</c:v>
                </c:pt>
                <c:pt idx="347">
                  <c:v>44178</c:v>
                </c:pt>
                <c:pt idx="348">
                  <c:v>44179</c:v>
                </c:pt>
                <c:pt idx="349">
                  <c:v>44180</c:v>
                </c:pt>
                <c:pt idx="350">
                  <c:v>44181</c:v>
                </c:pt>
                <c:pt idx="351">
                  <c:v>44182</c:v>
                </c:pt>
                <c:pt idx="352">
                  <c:v>44183</c:v>
                </c:pt>
                <c:pt idx="353">
                  <c:v>44184</c:v>
                </c:pt>
                <c:pt idx="354">
                  <c:v>44185</c:v>
                </c:pt>
                <c:pt idx="355">
                  <c:v>44186</c:v>
                </c:pt>
                <c:pt idx="356">
                  <c:v>44187</c:v>
                </c:pt>
                <c:pt idx="357">
                  <c:v>44188</c:v>
                </c:pt>
                <c:pt idx="358">
                  <c:v>44189</c:v>
                </c:pt>
                <c:pt idx="359">
                  <c:v>44190</c:v>
                </c:pt>
              </c:numCache>
            </c:numRef>
          </c:xVal>
          <c:yVal>
            <c:numRef>
              <c:f>'LH as published'!$H$33:$H$392</c:f>
              <c:numCache>
                <c:formatCode>0.00</c:formatCode>
                <c:ptCount val="360"/>
                <c:pt idx="0">
                  <c:v>0.48454639620303097</c:v>
                </c:pt>
                <c:pt idx="1">
                  <c:v>0.48721009635447254</c:v>
                </c:pt>
                <c:pt idx="2">
                  <c:v>0.48928784371392986</c:v>
                </c:pt>
                <c:pt idx="3">
                  <c:v>0.49070109656183719</c:v>
                </c:pt>
                <c:pt idx="4">
                  <c:v>0.49143288029375137</c:v>
                </c:pt>
                <c:pt idx="5">
                  <c:v>0.49036131242341313</c:v>
                </c:pt>
                <c:pt idx="6">
                  <c:v>0.48690333382962347</c:v>
                </c:pt>
                <c:pt idx="7">
                  <c:v>0.48587468988515498</c:v>
                </c:pt>
                <c:pt idx="8">
                  <c:v>0.48588372198689461</c:v>
                </c:pt>
                <c:pt idx="9">
                  <c:v>0.48597054431809911</c:v>
                </c:pt>
                <c:pt idx="10">
                  <c:v>0.48682343116948784</c:v>
                </c:pt>
                <c:pt idx="11">
                  <c:v>0.48822638197109047</c:v>
                </c:pt>
                <c:pt idx="12">
                  <c:v>0.48925237789392573</c:v>
                </c:pt>
                <c:pt idx="13">
                  <c:v>0.48977273251098319</c:v>
                </c:pt>
                <c:pt idx="14">
                  <c:v>0.48471531415944336</c:v>
                </c:pt>
                <c:pt idx="15">
                  <c:v>0.47498778909206996</c:v>
                </c:pt>
                <c:pt idx="16">
                  <c:v>0.46500128314738121</c:v>
                </c:pt>
                <c:pt idx="17">
                  <c:v>0.45591377996474769</c:v>
                </c:pt>
                <c:pt idx="18">
                  <c:v>0.44928655878984702</c:v>
                </c:pt>
                <c:pt idx="19">
                  <c:v>0.44552661544698274</c:v>
                </c:pt>
                <c:pt idx="20">
                  <c:v>0.44346496970055843</c:v>
                </c:pt>
                <c:pt idx="21">
                  <c:v>0.44284880849640934</c:v>
                </c:pt>
                <c:pt idx="22">
                  <c:v>0.44288331333851516</c:v>
                </c:pt>
                <c:pt idx="23">
                  <c:v>0.44342835070410463</c:v>
                </c:pt>
                <c:pt idx="24">
                  <c:v>0.44542509808228264</c:v>
                </c:pt>
                <c:pt idx="25">
                  <c:v>0.44936820648936382</c:v>
                </c:pt>
                <c:pt idx="26">
                  <c:v>0.45497291079720098</c:v>
                </c:pt>
                <c:pt idx="27">
                  <c:v>0.46148877482171968</c:v>
                </c:pt>
                <c:pt idx="28">
                  <c:v>0.46794756337575227</c:v>
                </c:pt>
                <c:pt idx="29">
                  <c:v>0.4738491950676611</c:v>
                </c:pt>
                <c:pt idx="30">
                  <c:v>0.47919869776876539</c:v>
                </c:pt>
                <c:pt idx="31">
                  <c:v>0.484014356510514</c:v>
                </c:pt>
                <c:pt idx="32">
                  <c:v>0.48830027892359845</c:v>
                </c:pt>
                <c:pt idx="33">
                  <c:v>0.49199696559635792</c:v>
                </c:pt>
                <c:pt idx="34">
                  <c:v>0.49496366760714894</c:v>
                </c:pt>
                <c:pt idx="35">
                  <c:v>0.49704014793854245</c:v>
                </c:pt>
                <c:pt idx="36">
                  <c:v>0.49811993621386252</c:v>
                </c:pt>
                <c:pt idx="37">
                  <c:v>0.49354262098177437</c:v>
                </c:pt>
                <c:pt idx="38">
                  <c:v>0.484570282836706</c:v>
                </c:pt>
                <c:pt idx="39">
                  <c:v>0.47830619066687829</c:v>
                </c:pt>
                <c:pt idx="40">
                  <c:v>0.47273417423500669</c:v>
                </c:pt>
                <c:pt idx="41">
                  <c:v>0.46698011180825655</c:v>
                </c:pt>
                <c:pt idx="42">
                  <c:v>0.46242550209433009</c:v>
                </c:pt>
                <c:pt idx="43">
                  <c:v>0.45934968844017887</c:v>
                </c:pt>
                <c:pt idx="44">
                  <c:v>0.45718262445126073</c:v>
                </c:pt>
                <c:pt idx="45">
                  <c:v>0.45625645262164244</c:v>
                </c:pt>
                <c:pt idx="46">
                  <c:v>0.45612197063272403</c:v>
                </c:pt>
                <c:pt idx="47">
                  <c:v>0.45612270110349407</c:v>
                </c:pt>
                <c:pt idx="48">
                  <c:v>0.45638795965630752</c:v>
                </c:pt>
                <c:pt idx="49">
                  <c:v>0.45728065237251275</c:v>
                </c:pt>
                <c:pt idx="50">
                  <c:v>0.45849370153114416</c:v>
                </c:pt>
                <c:pt idx="51">
                  <c:v>0.45961370237666649</c:v>
                </c:pt>
                <c:pt idx="52">
                  <c:v>0.46069006830440329</c:v>
                </c:pt>
                <c:pt idx="53">
                  <c:v>0.46202439325142586</c:v>
                </c:pt>
                <c:pt idx="54">
                  <c:v>0.46406365821234752</c:v>
                </c:pt>
                <c:pt idx="55">
                  <c:v>0.46683139505769655</c:v>
                </c:pt>
                <c:pt idx="56">
                  <c:v>0.46974193518933494</c:v>
                </c:pt>
                <c:pt idx="57">
                  <c:v>0.4723761517708665</c:v>
                </c:pt>
                <c:pt idx="58">
                  <c:v>0.47471999231532536</c:v>
                </c:pt>
                <c:pt idx="59">
                  <c:v>0.47680575066050135</c:v>
                </c:pt>
                <c:pt idx="60">
                  <c:v>0.47880753527632736</c:v>
                </c:pt>
                <c:pt idx="61">
                  <c:v>0.48111155631488961</c:v>
                </c:pt>
                <c:pt idx="62">
                  <c:v>0.48407074155386443</c:v>
                </c:pt>
                <c:pt idx="63">
                  <c:v>0.48772485706528523</c:v>
                </c:pt>
                <c:pt idx="64">
                  <c:v>0.49200316804902972</c:v>
                </c:pt>
                <c:pt idx="65">
                  <c:v>0.4968712952957845</c:v>
                </c:pt>
                <c:pt idx="66">
                  <c:v>0.50216781411799938</c:v>
                </c:pt>
                <c:pt idx="67">
                  <c:v>0.50773535632744848</c:v>
                </c:pt>
                <c:pt idx="68">
                  <c:v>0.5140749761774881</c:v>
                </c:pt>
                <c:pt idx="69">
                  <c:v>0.52201316827798572</c:v>
                </c:pt>
                <c:pt idx="70">
                  <c:v>0.53045691577328491</c:v>
                </c:pt>
                <c:pt idx="71">
                  <c:v>0.5379337120877471</c:v>
                </c:pt>
                <c:pt idx="72">
                  <c:v>0.54432987844348479</c:v>
                </c:pt>
                <c:pt idx="73">
                  <c:v>0.54960389159179623</c:v>
                </c:pt>
                <c:pt idx="74">
                  <c:v>0.55382942447597139</c:v>
                </c:pt>
                <c:pt idx="75">
                  <c:v>0.55724774025208512</c:v>
                </c:pt>
                <c:pt idx="76">
                  <c:v>0.56016759856945242</c:v>
                </c:pt>
                <c:pt idx="77">
                  <c:v>0.56282606240931021</c:v>
                </c:pt>
                <c:pt idx="78">
                  <c:v>0.56551662005322878</c:v>
                </c:pt>
                <c:pt idx="79">
                  <c:v>0.56847291355743457</c:v>
                </c:pt>
                <c:pt idx="80">
                  <c:v>0.57133002576179037</c:v>
                </c:pt>
                <c:pt idx="81">
                  <c:v>0.57362919535004653</c:v>
                </c:pt>
                <c:pt idx="82">
                  <c:v>0.57527904280443665</c:v>
                </c:pt>
                <c:pt idx="83">
                  <c:v>0.5762395892200759</c:v>
                </c:pt>
                <c:pt idx="84">
                  <c:v>0.57654725737877599</c:v>
                </c:pt>
                <c:pt idx="85">
                  <c:v>0.57197992513950247</c:v>
                </c:pt>
                <c:pt idx="86">
                  <c:v>0.57033287253338738</c:v>
                </c:pt>
                <c:pt idx="87">
                  <c:v>0.56872171638225866</c:v>
                </c:pt>
                <c:pt idx="88">
                  <c:v>0.56290363019945799</c:v>
                </c:pt>
                <c:pt idx="89">
                  <c:v>0.55180522891633299</c:v>
                </c:pt>
                <c:pt idx="90">
                  <c:v>0.53718355839002752</c:v>
                </c:pt>
                <c:pt idx="91">
                  <c:v>0.52057495549813237</c:v>
                </c:pt>
                <c:pt idx="92">
                  <c:v>0.50496389123801766</c:v>
                </c:pt>
                <c:pt idx="93">
                  <c:v>0.49268399452934097</c:v>
                </c:pt>
                <c:pt idx="94">
                  <c:v>0.48144702062666689</c:v>
                </c:pt>
                <c:pt idx="95">
                  <c:v>0.47094319349743174</c:v>
                </c:pt>
                <c:pt idx="96">
                  <c:v>0.46301966069017425</c:v>
                </c:pt>
                <c:pt idx="97">
                  <c:v>0.45618592989926626</c:v>
                </c:pt>
                <c:pt idx="98">
                  <c:v>0.44861065097577341</c:v>
                </c:pt>
                <c:pt idx="99">
                  <c:v>0.43997013063302076</c:v>
                </c:pt>
                <c:pt idx="100">
                  <c:v>0.43103023053331191</c:v>
                </c:pt>
                <c:pt idx="101">
                  <c:v>0.4236008019439067</c:v>
                </c:pt>
                <c:pt idx="102">
                  <c:v>0.4171207800078745</c:v>
                </c:pt>
                <c:pt idx="103">
                  <c:v>0.40995272208410199</c:v>
                </c:pt>
                <c:pt idx="104">
                  <c:v>0.40259226996278757</c:v>
                </c:pt>
                <c:pt idx="105">
                  <c:v>0.39626932461136438</c:v>
                </c:pt>
                <c:pt idx="106">
                  <c:v>0.39143951276001099</c:v>
                </c:pt>
                <c:pt idx="107">
                  <c:v>0.38734791042411626</c:v>
                </c:pt>
                <c:pt idx="108">
                  <c:v>0.38356736027850213</c:v>
                </c:pt>
                <c:pt idx="109">
                  <c:v>0.3805097559783347</c:v>
                </c:pt>
                <c:pt idx="110">
                  <c:v>0.37785061507964551</c:v>
                </c:pt>
                <c:pt idx="111">
                  <c:v>0.37505404046405166</c:v>
                </c:pt>
                <c:pt idx="112">
                  <c:v>0.3725738874472852</c:v>
                </c:pt>
                <c:pt idx="113">
                  <c:v>0.37117589865023592</c:v>
                </c:pt>
                <c:pt idx="114">
                  <c:v>0.37077008729315503</c:v>
                </c:pt>
                <c:pt idx="115">
                  <c:v>0.37072238691297565</c:v>
                </c:pt>
                <c:pt idx="116">
                  <c:v>0.37072747516745164</c:v>
                </c:pt>
                <c:pt idx="117">
                  <c:v>0.37080498988890964</c:v>
                </c:pt>
                <c:pt idx="118">
                  <c:v>0.37118096067203044</c:v>
                </c:pt>
                <c:pt idx="119">
                  <c:v>0.37312106687506125</c:v>
                </c:pt>
                <c:pt idx="120">
                  <c:v>0.38027553330673936</c:v>
                </c:pt>
                <c:pt idx="121">
                  <c:v>0.3930897086870565</c:v>
                </c:pt>
                <c:pt idx="122">
                  <c:v>0.40696036994828644</c:v>
                </c:pt>
                <c:pt idx="123">
                  <c:v>0.41934960304329733</c:v>
                </c:pt>
                <c:pt idx="124">
                  <c:v>0.43021838799547019</c:v>
                </c:pt>
                <c:pt idx="125">
                  <c:v>0.43957988378356794</c:v>
                </c:pt>
                <c:pt idx="126">
                  <c:v>0.44751142215279399</c:v>
                </c:pt>
                <c:pt idx="127">
                  <c:v>0.45419894112662207</c:v>
                </c:pt>
                <c:pt idx="128">
                  <c:v>0.45985727454254566</c:v>
                </c:pt>
                <c:pt idx="129">
                  <c:v>0.46467076618139913</c:v>
                </c:pt>
                <c:pt idx="130">
                  <c:v>0.46880845136252969</c:v>
                </c:pt>
                <c:pt idx="131">
                  <c:v>0.4723744749481632</c:v>
                </c:pt>
                <c:pt idx="132">
                  <c:v>0.47545870541009183</c:v>
                </c:pt>
                <c:pt idx="133">
                  <c:v>0.47819742600998949</c:v>
                </c:pt>
                <c:pt idx="134">
                  <c:v>0.48091321734890585</c:v>
                </c:pt>
                <c:pt idx="135">
                  <c:v>0.48419270925225194</c:v>
                </c:pt>
                <c:pt idx="136">
                  <c:v>0.48821948900741308</c:v>
                </c:pt>
                <c:pt idx="137">
                  <c:v>0.49642701946064499</c:v>
                </c:pt>
                <c:pt idx="138">
                  <c:v>0.50844988198516028</c:v>
                </c:pt>
                <c:pt idx="139">
                  <c:v>0.51909155463420464</c:v>
                </c:pt>
                <c:pt idx="140">
                  <c:v>0.52676431473452656</c:v>
                </c:pt>
                <c:pt idx="141">
                  <c:v>0.5310930744775888</c:v>
                </c:pt>
                <c:pt idx="142">
                  <c:v>0.53242678844825353</c:v>
                </c:pt>
                <c:pt idx="143">
                  <c:v>0.51105184894671329</c:v>
                </c:pt>
                <c:pt idx="144">
                  <c:v>0.49496372574911301</c:v>
                </c:pt>
                <c:pt idx="145">
                  <c:v>0.48192601213397729</c:v>
                </c:pt>
                <c:pt idx="146">
                  <c:v>0.4707429579497644</c:v>
                </c:pt>
                <c:pt idx="147">
                  <c:v>0.46179060706769404</c:v>
                </c:pt>
                <c:pt idx="148">
                  <c:v>0.45441373988136191</c:v>
                </c:pt>
                <c:pt idx="149">
                  <c:v>0.44601820228384159</c:v>
                </c:pt>
                <c:pt idx="150">
                  <c:v>0.43653172816560859</c:v>
                </c:pt>
                <c:pt idx="151">
                  <c:v>0.42827333453569916</c:v>
                </c:pt>
                <c:pt idx="152">
                  <c:v>0.42244466137423153</c:v>
                </c:pt>
                <c:pt idx="153">
                  <c:v>0.41719028010574355</c:v>
                </c:pt>
                <c:pt idx="154">
                  <c:v>0.41133367463719539</c:v>
                </c:pt>
                <c:pt idx="155">
                  <c:v>0.40528387632688562</c:v>
                </c:pt>
                <c:pt idx="156">
                  <c:v>0.3991294967167171</c:v>
                </c:pt>
                <c:pt idx="157">
                  <c:v>0.39246884304834134</c:v>
                </c:pt>
                <c:pt idx="158">
                  <c:v>0.38696014679566981</c:v>
                </c:pt>
                <c:pt idx="159">
                  <c:v>0.3834632095487403</c:v>
                </c:pt>
                <c:pt idx="160">
                  <c:v>0.38044573237961521</c:v>
                </c:pt>
                <c:pt idx="161">
                  <c:v>0.37668675928049838</c:v>
                </c:pt>
                <c:pt idx="162">
                  <c:v>0.37156529527219284</c:v>
                </c:pt>
                <c:pt idx="163">
                  <c:v>0.36514295839720012</c:v>
                </c:pt>
                <c:pt idx="164">
                  <c:v>0.35985648108926482</c:v>
                </c:pt>
                <c:pt idx="165">
                  <c:v>0.35715349156025727</c:v>
                </c:pt>
                <c:pt idx="166">
                  <c:v>0.35548611313763967</c:v>
                </c:pt>
                <c:pt idx="167">
                  <c:v>0.35421994174663374</c:v>
                </c:pt>
                <c:pt idx="168">
                  <c:v>0.3532210395123157</c:v>
                </c:pt>
                <c:pt idx="169">
                  <c:v>0.3523312698944383</c:v>
                </c:pt>
                <c:pt idx="170">
                  <c:v>0.35196331662254776</c:v>
                </c:pt>
                <c:pt idx="171">
                  <c:v>0.35199411949834114</c:v>
                </c:pt>
                <c:pt idx="172">
                  <c:v>0.35208666978697239</c:v>
                </c:pt>
                <c:pt idx="173">
                  <c:v>0.35241974511356727</c:v>
                </c:pt>
                <c:pt idx="174">
                  <c:v>0.35416887125482127</c:v>
                </c:pt>
                <c:pt idx="175">
                  <c:v>0.358428416503137</c:v>
                </c:pt>
                <c:pt idx="176">
                  <c:v>0.36424473286107018</c:v>
                </c:pt>
                <c:pt idx="177">
                  <c:v>0.3703454822699952</c:v>
                </c:pt>
                <c:pt idx="178">
                  <c:v>0.37670868716731276</c:v>
                </c:pt>
                <c:pt idx="179">
                  <c:v>0.38308355981718378</c:v>
                </c:pt>
                <c:pt idx="180">
                  <c:v>0.38902734249753951</c:v>
                </c:pt>
                <c:pt idx="181">
                  <c:v>0.3946787888369705</c:v>
                </c:pt>
                <c:pt idx="182">
                  <c:v>0.40014512973021266</c:v>
                </c:pt>
                <c:pt idx="183">
                  <c:v>0.40529245560147098</c:v>
                </c:pt>
                <c:pt idx="184">
                  <c:v>0.41001658965316012</c:v>
                </c:pt>
                <c:pt idx="185">
                  <c:v>0.41434365557058411</c:v>
                </c:pt>
                <c:pt idx="186">
                  <c:v>0.41832273915875767</c:v>
                </c:pt>
                <c:pt idx="187">
                  <c:v>0.42202751941428052</c:v>
                </c:pt>
                <c:pt idx="188">
                  <c:v>0.42565979420925831</c:v>
                </c:pt>
                <c:pt idx="189">
                  <c:v>0.42953178519554097</c:v>
                </c:pt>
                <c:pt idx="190">
                  <c:v>0.43417322060380231</c:v>
                </c:pt>
                <c:pt idx="191">
                  <c:v>0.44070534107974441</c:v>
                </c:pt>
                <c:pt idx="192">
                  <c:v>0.44806830709073125</c:v>
                </c:pt>
                <c:pt idx="193">
                  <c:v>0.4543552608874839</c:v>
                </c:pt>
                <c:pt idx="194">
                  <c:v>0.45958924000286849</c:v>
                </c:pt>
                <c:pt idx="195">
                  <c:v>0.46407212399928499</c:v>
                </c:pt>
                <c:pt idx="196">
                  <c:v>0.46800082200749249</c:v>
                </c:pt>
                <c:pt idx="197">
                  <c:v>0.47126528378921745</c:v>
                </c:pt>
                <c:pt idx="198">
                  <c:v>0.47355716964022959</c:v>
                </c:pt>
                <c:pt idx="199">
                  <c:v>0.47459308867542038</c:v>
                </c:pt>
                <c:pt idx="200">
                  <c:v>0.46124012437132411</c:v>
                </c:pt>
                <c:pt idx="201">
                  <c:v>0.44578371620652768</c:v>
                </c:pt>
                <c:pt idx="202">
                  <c:v>0.43488162274832792</c:v>
                </c:pt>
                <c:pt idx="203">
                  <c:v>0.42604620145777095</c:v>
                </c:pt>
                <c:pt idx="204">
                  <c:v>0.41899669073990342</c:v>
                </c:pt>
                <c:pt idx="205">
                  <c:v>0.4144034931891647</c:v>
                </c:pt>
                <c:pt idx="206">
                  <c:v>0.41126760596361106</c:v>
                </c:pt>
                <c:pt idx="207">
                  <c:v>0.40845755964712327</c:v>
                </c:pt>
                <c:pt idx="208">
                  <c:v>0.40524902765888027</c:v>
                </c:pt>
                <c:pt idx="209">
                  <c:v>0.40177130348417761</c:v>
                </c:pt>
                <c:pt idx="210">
                  <c:v>0.39827023823606383</c:v>
                </c:pt>
                <c:pt idx="211">
                  <c:v>0.39551896570511763</c:v>
                </c:pt>
                <c:pt idx="212">
                  <c:v>0.39340950222610294</c:v>
                </c:pt>
                <c:pt idx="213">
                  <c:v>0.39163745832516994</c:v>
                </c:pt>
                <c:pt idx="214">
                  <c:v>0.39004788421181841</c:v>
                </c:pt>
                <c:pt idx="215">
                  <c:v>0.38774532723004229</c:v>
                </c:pt>
                <c:pt idx="216">
                  <c:v>0.38460858785449459</c:v>
                </c:pt>
                <c:pt idx="217">
                  <c:v>0.38090556853810709</c:v>
                </c:pt>
                <c:pt idx="218">
                  <c:v>0.3775454837454208</c:v>
                </c:pt>
                <c:pt idx="219">
                  <c:v>0.37461417530243774</c:v>
                </c:pt>
                <c:pt idx="220">
                  <c:v>0.37152528623615322</c:v>
                </c:pt>
                <c:pt idx="221">
                  <c:v>0.36808601039896222</c:v>
                </c:pt>
                <c:pt idx="222">
                  <c:v>0.36375477511507925</c:v>
                </c:pt>
                <c:pt idx="223">
                  <c:v>0.35830893952696213</c:v>
                </c:pt>
                <c:pt idx="224">
                  <c:v>0.35258853205148211</c:v>
                </c:pt>
                <c:pt idx="225">
                  <c:v>0.3476716343506378</c:v>
                </c:pt>
                <c:pt idx="226">
                  <c:v>0.34389478408314489</c:v>
                </c:pt>
                <c:pt idx="227">
                  <c:v>0.3413689848840179</c:v>
                </c:pt>
                <c:pt idx="228">
                  <c:v>0.33953076883938749</c:v>
                </c:pt>
                <c:pt idx="229">
                  <c:v>0.33807121186539063</c:v>
                </c:pt>
                <c:pt idx="230">
                  <c:v>0.33691250395278699</c:v>
                </c:pt>
                <c:pt idx="231">
                  <c:v>0.33563989905841407</c:v>
                </c:pt>
                <c:pt idx="232">
                  <c:v>0.33422651422382688</c:v>
                </c:pt>
                <c:pt idx="233">
                  <c:v>0.33266843319139622</c:v>
                </c:pt>
                <c:pt idx="234">
                  <c:v>0.33185394813535057</c:v>
                </c:pt>
                <c:pt idx="235">
                  <c:v>0.33185413401391062</c:v>
                </c:pt>
                <c:pt idx="236">
                  <c:v>0.33186417059133289</c:v>
                </c:pt>
                <c:pt idx="237">
                  <c:v>0.33280653147173728</c:v>
                </c:pt>
                <c:pt idx="238">
                  <c:v>0.33561355586464586</c:v>
                </c:pt>
                <c:pt idx="239">
                  <c:v>0.33919282555802044</c:v>
                </c:pt>
                <c:pt idx="240">
                  <c:v>0.34239437527038996</c:v>
                </c:pt>
                <c:pt idx="241">
                  <c:v>0.34512809230184216</c:v>
                </c:pt>
                <c:pt idx="242">
                  <c:v>0.34730437893085453</c:v>
                </c:pt>
                <c:pt idx="243">
                  <c:v>0.34892909044224341</c:v>
                </c:pt>
                <c:pt idx="244">
                  <c:v>0.35014585080665683</c:v>
                </c:pt>
                <c:pt idx="245">
                  <c:v>0.35108927892882502</c:v>
                </c:pt>
                <c:pt idx="246">
                  <c:v>0.35176795336040001</c:v>
                </c:pt>
                <c:pt idx="247">
                  <c:v>0.35215474794310359</c:v>
                </c:pt>
                <c:pt idx="248">
                  <c:v>0.35230765395505209</c:v>
                </c:pt>
                <c:pt idx="249">
                  <c:v>0.35218681760881809</c:v>
                </c:pt>
                <c:pt idx="250">
                  <c:v>0.35171952040190813</c:v>
                </c:pt>
                <c:pt idx="251">
                  <c:v>0.35212395733908197</c:v>
                </c:pt>
                <c:pt idx="252">
                  <c:v>0.35376913680998279</c:v>
                </c:pt>
                <c:pt idx="253">
                  <c:v>0.35691510798881282</c:v>
                </c:pt>
                <c:pt idx="254">
                  <c:v>0.36050260216804914</c:v>
                </c:pt>
                <c:pt idx="255">
                  <c:v>0.36353038102481799</c:v>
                </c:pt>
                <c:pt idx="256">
                  <c:v>0.36575994458531347</c:v>
                </c:pt>
                <c:pt idx="257">
                  <c:v>0.3669945846480398</c:v>
                </c:pt>
                <c:pt idx="258">
                  <c:v>0.36437274270409592</c:v>
                </c:pt>
                <c:pt idx="259">
                  <c:v>0.35589284928552567</c:v>
                </c:pt>
                <c:pt idx="260">
                  <c:v>0.34969755929976309</c:v>
                </c:pt>
                <c:pt idx="261">
                  <c:v>0.34421274308193323</c:v>
                </c:pt>
                <c:pt idx="262">
                  <c:v>0.33952781227364875</c:v>
                </c:pt>
                <c:pt idx="263">
                  <c:v>0.33653080680392511</c:v>
                </c:pt>
                <c:pt idx="264">
                  <c:v>0.33414430088447195</c:v>
                </c:pt>
                <c:pt idx="265">
                  <c:v>0.33151421680380666</c:v>
                </c:pt>
                <c:pt idx="266">
                  <c:v>0.32850204821006362</c:v>
                </c:pt>
                <c:pt idx="267">
                  <c:v>0.32507723524837256</c:v>
                </c:pt>
                <c:pt idx="268">
                  <c:v>0.32132804649866342</c:v>
                </c:pt>
                <c:pt idx="269">
                  <c:v>0.31763939321975987</c:v>
                </c:pt>
                <c:pt idx="270">
                  <c:v>0.31399657910516326</c:v>
                </c:pt>
                <c:pt idx="271">
                  <c:v>0.30978160381406683</c:v>
                </c:pt>
                <c:pt idx="272">
                  <c:v>0.30462194759310174</c:v>
                </c:pt>
                <c:pt idx="273">
                  <c:v>0.29852272476536168</c:v>
                </c:pt>
                <c:pt idx="274">
                  <c:v>0.29151692601120982</c:v>
                </c:pt>
                <c:pt idx="275">
                  <c:v>0.28334013034184358</c:v>
                </c:pt>
                <c:pt idx="276">
                  <c:v>0.27376648800825953</c:v>
                </c:pt>
                <c:pt idx="277">
                  <c:v>0.26261559552448321</c:v>
                </c:pt>
                <c:pt idx="278">
                  <c:v>0.25054667972650063</c:v>
                </c:pt>
                <c:pt idx="279">
                  <c:v>0.23947029969009037</c:v>
                </c:pt>
                <c:pt idx="280">
                  <c:v>0.23199832057482817</c:v>
                </c:pt>
                <c:pt idx="281">
                  <c:v>0.22922981730486039</c:v>
                </c:pt>
                <c:pt idx="282">
                  <c:v>0.22858637858918004</c:v>
                </c:pt>
                <c:pt idx="283">
                  <c:v>0.22792969439693175</c:v>
                </c:pt>
                <c:pt idx="284">
                  <c:v>0.22739958357559273</c:v>
                </c:pt>
                <c:pt idx="285">
                  <c:v>0.22675567607102126</c:v>
                </c:pt>
                <c:pt idx="286">
                  <c:v>0.22561621054940662</c:v>
                </c:pt>
                <c:pt idx="287">
                  <c:v>0.22409786290809597</c:v>
                </c:pt>
                <c:pt idx="288">
                  <c:v>0.22272041153684774</c:v>
                </c:pt>
                <c:pt idx="289">
                  <c:v>0.22188695032102093</c:v>
                </c:pt>
                <c:pt idx="290">
                  <c:v>0.22162108463524047</c:v>
                </c:pt>
                <c:pt idx="291">
                  <c:v>0.22172221004609158</c:v>
                </c:pt>
                <c:pt idx="292">
                  <c:v>0.22190514294987501</c:v>
                </c:pt>
                <c:pt idx="293">
                  <c:v>0.22205283139467949</c:v>
                </c:pt>
                <c:pt idx="294">
                  <c:v>0.2222504253772174</c:v>
                </c:pt>
                <c:pt idx="295">
                  <c:v>0.22386853810057653</c:v>
                </c:pt>
                <c:pt idx="296">
                  <c:v>0.22837874729290963</c:v>
                </c:pt>
                <c:pt idx="297">
                  <c:v>0.23407427079207541</c:v>
                </c:pt>
                <c:pt idx="298">
                  <c:v>0.23899793608732908</c:v>
                </c:pt>
                <c:pt idx="299">
                  <c:v>0.24306910426044745</c:v>
                </c:pt>
                <c:pt idx="300">
                  <c:v>0.24627901081518974</c:v>
                </c:pt>
                <c:pt idx="301">
                  <c:v>0.24870146026989137</c:v>
                </c:pt>
                <c:pt idx="302">
                  <c:v>0.25049264823403272</c:v>
                </c:pt>
                <c:pt idx="303">
                  <c:v>0.25177598938872636</c:v>
                </c:pt>
                <c:pt idx="304">
                  <c:v>0.25261533859130469</c:v>
                </c:pt>
                <c:pt idx="305">
                  <c:v>0.25308087684138131</c:v>
                </c:pt>
                <c:pt idx="306">
                  <c:v>0.25324766416367717</c:v>
                </c:pt>
                <c:pt idx="307">
                  <c:v>0.2501268118196478</c:v>
                </c:pt>
                <c:pt idx="308">
                  <c:v>0.24628205037456924</c:v>
                </c:pt>
                <c:pt idx="309">
                  <c:v>0.24333172405416587</c:v>
                </c:pt>
                <c:pt idx="310">
                  <c:v>0.24134882737824631</c:v>
                </c:pt>
                <c:pt idx="311">
                  <c:v>0.24010726620879924</c:v>
                </c:pt>
                <c:pt idx="312">
                  <c:v>0.23962544832590796</c:v>
                </c:pt>
                <c:pt idx="313">
                  <c:v>0.23935474992464531</c:v>
                </c:pt>
                <c:pt idx="314">
                  <c:v>0.239441727644958</c:v>
                </c:pt>
                <c:pt idx="315">
                  <c:v>0.23977105940584087</c:v>
                </c:pt>
                <c:pt idx="316">
                  <c:v>0.24022959892553292</c:v>
                </c:pt>
                <c:pt idx="317">
                  <c:v>0.24062800328943121</c:v>
                </c:pt>
                <c:pt idx="318">
                  <c:v>0.24095508525824677</c:v>
                </c:pt>
                <c:pt idx="319">
                  <c:v>0.24119769264337002</c:v>
                </c:pt>
                <c:pt idx="320">
                  <c:v>0.24132734412533324</c:v>
                </c:pt>
                <c:pt idx="321">
                  <c:v>0.24013061332603328</c:v>
                </c:pt>
                <c:pt idx="322">
                  <c:v>0.23887357897099037</c:v>
                </c:pt>
                <c:pt idx="323">
                  <c:v>0.23849411479275667</c:v>
                </c:pt>
                <c:pt idx="324">
                  <c:v>0.23829671786444398</c:v>
                </c:pt>
                <c:pt idx="325">
                  <c:v>0.23831429320629016</c:v>
                </c:pt>
                <c:pt idx="326">
                  <c:v>0.23838637635814791</c:v>
                </c:pt>
                <c:pt idx="327">
                  <c:v>0.23852923582067256</c:v>
                </c:pt>
                <c:pt idx="328">
                  <c:v>0.23910111840488463</c:v>
                </c:pt>
                <c:pt idx="329">
                  <c:v>0.2415847465358833</c:v>
                </c:pt>
                <c:pt idx="330">
                  <c:v>0.24611976134199703</c:v>
                </c:pt>
                <c:pt idx="331">
                  <c:v>0.25084724119112667</c:v>
                </c:pt>
                <c:pt idx="332">
                  <c:v>0.2548395765871686</c:v>
                </c:pt>
                <c:pt idx="333">
                  <c:v>0.25803631687876583</c:v>
                </c:pt>
                <c:pt idx="334">
                  <c:v>0.26049709695113876</c:v>
                </c:pt>
                <c:pt idx="335">
                  <c:v>0.26239556122666979</c:v>
                </c:pt>
                <c:pt idx="336">
                  <c:v>0.26388346342477409</c:v>
                </c:pt>
                <c:pt idx="337">
                  <c:v>0.26505280296390044</c:v>
                </c:pt>
                <c:pt idx="338">
                  <c:v>0.2659808572773748</c:v>
                </c:pt>
                <c:pt idx="339">
                  <c:v>0.26670343547200426</c:v>
                </c:pt>
                <c:pt idx="340">
                  <c:v>0.26723158804823721</c:v>
                </c:pt>
                <c:pt idx="341">
                  <c:v>0.2676002845441684</c:v>
                </c:pt>
                <c:pt idx="342">
                  <c:v>0.26786051808102729</c:v>
                </c:pt>
                <c:pt idx="343">
                  <c:v>0.26805492103324302</c:v>
                </c:pt>
                <c:pt idx="344">
                  <c:v>0.26821772154246221</c:v>
                </c:pt>
                <c:pt idx="345">
                  <c:v>0.268516500223551</c:v>
                </c:pt>
                <c:pt idx="346">
                  <c:v>0.27101007345386485</c:v>
                </c:pt>
                <c:pt idx="347">
                  <c:v>0.2756966661115095</c:v>
                </c:pt>
                <c:pt idx="348">
                  <c:v>0.28010061711787471</c:v>
                </c:pt>
                <c:pt idx="349">
                  <c:v>0.28360086609367224</c:v>
                </c:pt>
                <c:pt idx="350">
                  <c:v>0.28613486691998802</c:v>
                </c:pt>
                <c:pt idx="351">
                  <c:v>0.28777325113140645</c:v>
                </c:pt>
                <c:pt idx="352">
                  <c:v>0.28873153886987341</c:v>
                </c:pt>
                <c:pt idx="353">
                  <c:v>0.28921793634940141</c:v>
                </c:pt>
                <c:pt idx="354">
                  <c:v>0.28834130512500344</c:v>
                </c:pt>
                <c:pt idx="355">
                  <c:v>0.28454308807189865</c:v>
                </c:pt>
                <c:pt idx="356">
                  <c:v>0.28157946275083556</c:v>
                </c:pt>
                <c:pt idx="357">
                  <c:v>0.27864223869656057</c:v>
                </c:pt>
                <c:pt idx="358">
                  <c:v>0.27607035375182482</c:v>
                </c:pt>
                <c:pt idx="359">
                  <c:v>0.27503039600379453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25-4AC3-ADC9-DF3E09804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658031"/>
        <c:axId val="1214983840"/>
      </c:scatterChart>
      <c:valAx>
        <c:axId val="895658031"/>
        <c:scaling>
          <c:orientation val="minMax"/>
          <c:max val="44197"/>
          <c:min val="4383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983840"/>
        <c:crosses val="autoZero"/>
        <c:crossBetween val="midCat"/>
        <c:majorUnit val="31"/>
        <c:minorUnit val="7"/>
      </c:valAx>
      <c:valAx>
        <c:axId val="121498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65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'LH per Tony Ladson'!$B$2</c:f>
              <c:strCache>
                <c:ptCount val="1"/>
                <c:pt idx="0">
                  <c:v>Daily Flow (cfs)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'LH per Tony Ladson'!$A$33:$A$392</c:f>
              <c:numCache>
                <c:formatCode>m/d/yyyy</c:formatCode>
                <c:ptCount val="360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  <c:pt idx="180">
                  <c:v>44011</c:v>
                </c:pt>
                <c:pt idx="181">
                  <c:v>44012</c:v>
                </c:pt>
                <c:pt idx="182">
                  <c:v>44013</c:v>
                </c:pt>
                <c:pt idx="183">
                  <c:v>44014</c:v>
                </c:pt>
                <c:pt idx="184">
                  <c:v>44015</c:v>
                </c:pt>
                <c:pt idx="185">
                  <c:v>44016</c:v>
                </c:pt>
                <c:pt idx="186">
                  <c:v>44017</c:v>
                </c:pt>
                <c:pt idx="187">
                  <c:v>44018</c:v>
                </c:pt>
                <c:pt idx="188">
                  <c:v>44019</c:v>
                </c:pt>
                <c:pt idx="189">
                  <c:v>44020</c:v>
                </c:pt>
                <c:pt idx="190">
                  <c:v>44021</c:v>
                </c:pt>
                <c:pt idx="191">
                  <c:v>44022</c:v>
                </c:pt>
                <c:pt idx="192">
                  <c:v>44023</c:v>
                </c:pt>
                <c:pt idx="193">
                  <c:v>44024</c:v>
                </c:pt>
                <c:pt idx="194">
                  <c:v>44025</c:v>
                </c:pt>
                <c:pt idx="195">
                  <c:v>44026</c:v>
                </c:pt>
                <c:pt idx="196">
                  <c:v>44027</c:v>
                </c:pt>
                <c:pt idx="197">
                  <c:v>44028</c:v>
                </c:pt>
                <c:pt idx="198">
                  <c:v>44029</c:v>
                </c:pt>
                <c:pt idx="199">
                  <c:v>44030</c:v>
                </c:pt>
                <c:pt idx="200">
                  <c:v>44031</c:v>
                </c:pt>
                <c:pt idx="201">
                  <c:v>44032</c:v>
                </c:pt>
                <c:pt idx="202">
                  <c:v>44033</c:v>
                </c:pt>
                <c:pt idx="203">
                  <c:v>44034</c:v>
                </c:pt>
                <c:pt idx="204">
                  <c:v>44035</c:v>
                </c:pt>
                <c:pt idx="205">
                  <c:v>44036</c:v>
                </c:pt>
                <c:pt idx="206">
                  <c:v>44037</c:v>
                </c:pt>
                <c:pt idx="207">
                  <c:v>44038</c:v>
                </c:pt>
                <c:pt idx="208">
                  <c:v>44039</c:v>
                </c:pt>
                <c:pt idx="209">
                  <c:v>44040</c:v>
                </c:pt>
                <c:pt idx="210">
                  <c:v>44041</c:v>
                </c:pt>
                <c:pt idx="211">
                  <c:v>44042</c:v>
                </c:pt>
                <c:pt idx="212">
                  <c:v>44043</c:v>
                </c:pt>
                <c:pt idx="213">
                  <c:v>44044</c:v>
                </c:pt>
                <c:pt idx="214">
                  <c:v>44045</c:v>
                </c:pt>
                <c:pt idx="215">
                  <c:v>44046</c:v>
                </c:pt>
                <c:pt idx="216">
                  <c:v>44047</c:v>
                </c:pt>
                <c:pt idx="217">
                  <c:v>44048</c:v>
                </c:pt>
                <c:pt idx="218">
                  <c:v>44049</c:v>
                </c:pt>
                <c:pt idx="219">
                  <c:v>44050</c:v>
                </c:pt>
                <c:pt idx="220">
                  <c:v>44051</c:v>
                </c:pt>
                <c:pt idx="221">
                  <c:v>44052</c:v>
                </c:pt>
                <c:pt idx="222">
                  <c:v>44053</c:v>
                </c:pt>
                <c:pt idx="223">
                  <c:v>44054</c:v>
                </c:pt>
                <c:pt idx="224">
                  <c:v>44055</c:v>
                </c:pt>
                <c:pt idx="225">
                  <c:v>44056</c:v>
                </c:pt>
                <c:pt idx="226">
                  <c:v>44057</c:v>
                </c:pt>
                <c:pt idx="227">
                  <c:v>44058</c:v>
                </c:pt>
                <c:pt idx="228">
                  <c:v>44059</c:v>
                </c:pt>
                <c:pt idx="229">
                  <c:v>44060</c:v>
                </c:pt>
                <c:pt idx="230">
                  <c:v>44061</c:v>
                </c:pt>
                <c:pt idx="231">
                  <c:v>44062</c:v>
                </c:pt>
                <c:pt idx="232">
                  <c:v>44063</c:v>
                </c:pt>
                <c:pt idx="233">
                  <c:v>44064</c:v>
                </c:pt>
                <c:pt idx="234">
                  <c:v>44065</c:v>
                </c:pt>
                <c:pt idx="235">
                  <c:v>44066</c:v>
                </c:pt>
                <c:pt idx="236">
                  <c:v>44067</c:v>
                </c:pt>
                <c:pt idx="237">
                  <c:v>44068</c:v>
                </c:pt>
                <c:pt idx="238">
                  <c:v>44069</c:v>
                </c:pt>
                <c:pt idx="239">
                  <c:v>44070</c:v>
                </c:pt>
                <c:pt idx="240">
                  <c:v>44071</c:v>
                </c:pt>
                <c:pt idx="241">
                  <c:v>44072</c:v>
                </c:pt>
                <c:pt idx="242">
                  <c:v>44073</c:v>
                </c:pt>
                <c:pt idx="243">
                  <c:v>44074</c:v>
                </c:pt>
                <c:pt idx="244">
                  <c:v>44075</c:v>
                </c:pt>
                <c:pt idx="245">
                  <c:v>44076</c:v>
                </c:pt>
                <c:pt idx="246">
                  <c:v>44077</c:v>
                </c:pt>
                <c:pt idx="247">
                  <c:v>44078</c:v>
                </c:pt>
                <c:pt idx="248">
                  <c:v>44079</c:v>
                </c:pt>
                <c:pt idx="249">
                  <c:v>44080</c:v>
                </c:pt>
                <c:pt idx="250">
                  <c:v>44081</c:v>
                </c:pt>
                <c:pt idx="251">
                  <c:v>44082</c:v>
                </c:pt>
                <c:pt idx="252">
                  <c:v>44083</c:v>
                </c:pt>
                <c:pt idx="253">
                  <c:v>44084</c:v>
                </c:pt>
                <c:pt idx="254">
                  <c:v>44085</c:v>
                </c:pt>
                <c:pt idx="255">
                  <c:v>44086</c:v>
                </c:pt>
                <c:pt idx="256">
                  <c:v>44087</c:v>
                </c:pt>
                <c:pt idx="257">
                  <c:v>44088</c:v>
                </c:pt>
                <c:pt idx="258">
                  <c:v>44089</c:v>
                </c:pt>
                <c:pt idx="259">
                  <c:v>44090</c:v>
                </c:pt>
                <c:pt idx="260">
                  <c:v>44091</c:v>
                </c:pt>
                <c:pt idx="261">
                  <c:v>44092</c:v>
                </c:pt>
                <c:pt idx="262">
                  <c:v>44093</c:v>
                </c:pt>
                <c:pt idx="263">
                  <c:v>44094</c:v>
                </c:pt>
                <c:pt idx="264">
                  <c:v>44095</c:v>
                </c:pt>
                <c:pt idx="265">
                  <c:v>44096</c:v>
                </c:pt>
                <c:pt idx="266">
                  <c:v>44097</c:v>
                </c:pt>
                <c:pt idx="267">
                  <c:v>44098</c:v>
                </c:pt>
                <c:pt idx="268">
                  <c:v>44099</c:v>
                </c:pt>
                <c:pt idx="269">
                  <c:v>44100</c:v>
                </c:pt>
                <c:pt idx="270">
                  <c:v>44101</c:v>
                </c:pt>
                <c:pt idx="271">
                  <c:v>44102</c:v>
                </c:pt>
                <c:pt idx="272">
                  <c:v>44103</c:v>
                </c:pt>
                <c:pt idx="273">
                  <c:v>44104</c:v>
                </c:pt>
                <c:pt idx="274">
                  <c:v>44105</c:v>
                </c:pt>
                <c:pt idx="275">
                  <c:v>44106</c:v>
                </c:pt>
                <c:pt idx="276">
                  <c:v>44107</c:v>
                </c:pt>
                <c:pt idx="277">
                  <c:v>44108</c:v>
                </c:pt>
                <c:pt idx="278">
                  <c:v>44109</c:v>
                </c:pt>
                <c:pt idx="279">
                  <c:v>44110</c:v>
                </c:pt>
                <c:pt idx="280">
                  <c:v>44111</c:v>
                </c:pt>
                <c:pt idx="281">
                  <c:v>44112</c:v>
                </c:pt>
                <c:pt idx="282">
                  <c:v>44113</c:v>
                </c:pt>
                <c:pt idx="283">
                  <c:v>44114</c:v>
                </c:pt>
                <c:pt idx="284">
                  <c:v>44115</c:v>
                </c:pt>
                <c:pt idx="285">
                  <c:v>44116</c:v>
                </c:pt>
                <c:pt idx="286">
                  <c:v>44117</c:v>
                </c:pt>
                <c:pt idx="287">
                  <c:v>44118</c:v>
                </c:pt>
                <c:pt idx="288">
                  <c:v>44119</c:v>
                </c:pt>
                <c:pt idx="289">
                  <c:v>44120</c:v>
                </c:pt>
                <c:pt idx="290">
                  <c:v>44121</c:v>
                </c:pt>
                <c:pt idx="291">
                  <c:v>44122</c:v>
                </c:pt>
                <c:pt idx="292">
                  <c:v>44123</c:v>
                </c:pt>
                <c:pt idx="293">
                  <c:v>44124</c:v>
                </c:pt>
                <c:pt idx="294">
                  <c:v>44125</c:v>
                </c:pt>
                <c:pt idx="295">
                  <c:v>44126</c:v>
                </c:pt>
                <c:pt idx="296">
                  <c:v>44127</c:v>
                </c:pt>
                <c:pt idx="297">
                  <c:v>44128</c:v>
                </c:pt>
                <c:pt idx="298">
                  <c:v>44129</c:v>
                </c:pt>
                <c:pt idx="299">
                  <c:v>44130</c:v>
                </c:pt>
                <c:pt idx="300">
                  <c:v>44131</c:v>
                </c:pt>
                <c:pt idx="301">
                  <c:v>44132</c:v>
                </c:pt>
                <c:pt idx="302">
                  <c:v>44133</c:v>
                </c:pt>
                <c:pt idx="303">
                  <c:v>44134</c:v>
                </c:pt>
                <c:pt idx="304">
                  <c:v>44135</c:v>
                </c:pt>
                <c:pt idx="305">
                  <c:v>44136</c:v>
                </c:pt>
                <c:pt idx="306">
                  <c:v>44137</c:v>
                </c:pt>
                <c:pt idx="307">
                  <c:v>44138</c:v>
                </c:pt>
                <c:pt idx="308">
                  <c:v>44139</c:v>
                </c:pt>
                <c:pt idx="309">
                  <c:v>44140</c:v>
                </c:pt>
                <c:pt idx="310">
                  <c:v>44141</c:v>
                </c:pt>
                <c:pt idx="311">
                  <c:v>44142</c:v>
                </c:pt>
                <c:pt idx="312">
                  <c:v>44143</c:v>
                </c:pt>
                <c:pt idx="313">
                  <c:v>44144</c:v>
                </c:pt>
                <c:pt idx="314">
                  <c:v>44145</c:v>
                </c:pt>
                <c:pt idx="315">
                  <c:v>44146</c:v>
                </c:pt>
                <c:pt idx="316">
                  <c:v>44147</c:v>
                </c:pt>
                <c:pt idx="317">
                  <c:v>44148</c:v>
                </c:pt>
                <c:pt idx="318">
                  <c:v>44149</c:v>
                </c:pt>
                <c:pt idx="319">
                  <c:v>44150</c:v>
                </c:pt>
                <c:pt idx="320">
                  <c:v>44151</c:v>
                </c:pt>
                <c:pt idx="321">
                  <c:v>44152</c:v>
                </c:pt>
                <c:pt idx="322">
                  <c:v>44153</c:v>
                </c:pt>
                <c:pt idx="323">
                  <c:v>44154</c:v>
                </c:pt>
                <c:pt idx="324">
                  <c:v>44155</c:v>
                </c:pt>
                <c:pt idx="325">
                  <c:v>44156</c:v>
                </c:pt>
                <c:pt idx="326">
                  <c:v>44157</c:v>
                </c:pt>
                <c:pt idx="327">
                  <c:v>44158</c:v>
                </c:pt>
                <c:pt idx="328">
                  <c:v>44159</c:v>
                </c:pt>
                <c:pt idx="329">
                  <c:v>44160</c:v>
                </c:pt>
                <c:pt idx="330">
                  <c:v>44161</c:v>
                </c:pt>
                <c:pt idx="331">
                  <c:v>44162</c:v>
                </c:pt>
                <c:pt idx="332">
                  <c:v>44163</c:v>
                </c:pt>
                <c:pt idx="333">
                  <c:v>44164</c:v>
                </c:pt>
                <c:pt idx="334">
                  <c:v>44165</c:v>
                </c:pt>
                <c:pt idx="335">
                  <c:v>44166</c:v>
                </c:pt>
                <c:pt idx="336">
                  <c:v>44167</c:v>
                </c:pt>
                <c:pt idx="337">
                  <c:v>44168</c:v>
                </c:pt>
                <c:pt idx="338">
                  <c:v>44169</c:v>
                </c:pt>
                <c:pt idx="339">
                  <c:v>44170</c:v>
                </c:pt>
                <c:pt idx="340">
                  <c:v>44171</c:v>
                </c:pt>
                <c:pt idx="341">
                  <c:v>44172</c:v>
                </c:pt>
                <c:pt idx="342">
                  <c:v>44173</c:v>
                </c:pt>
                <c:pt idx="343">
                  <c:v>44174</c:v>
                </c:pt>
                <c:pt idx="344">
                  <c:v>44175</c:v>
                </c:pt>
                <c:pt idx="345">
                  <c:v>44176</c:v>
                </c:pt>
                <c:pt idx="346">
                  <c:v>44177</c:v>
                </c:pt>
                <c:pt idx="347">
                  <c:v>44178</c:v>
                </c:pt>
                <c:pt idx="348">
                  <c:v>44179</c:v>
                </c:pt>
                <c:pt idx="349">
                  <c:v>44180</c:v>
                </c:pt>
                <c:pt idx="350">
                  <c:v>44181</c:v>
                </c:pt>
                <c:pt idx="351">
                  <c:v>44182</c:v>
                </c:pt>
                <c:pt idx="352">
                  <c:v>44183</c:v>
                </c:pt>
                <c:pt idx="353">
                  <c:v>44184</c:v>
                </c:pt>
                <c:pt idx="354">
                  <c:v>44185</c:v>
                </c:pt>
                <c:pt idx="355">
                  <c:v>44186</c:v>
                </c:pt>
                <c:pt idx="356">
                  <c:v>44187</c:v>
                </c:pt>
                <c:pt idx="357">
                  <c:v>44188</c:v>
                </c:pt>
                <c:pt idx="358">
                  <c:v>44189</c:v>
                </c:pt>
                <c:pt idx="359">
                  <c:v>44190</c:v>
                </c:pt>
              </c:numCache>
            </c:numRef>
          </c:xVal>
          <c:yVal>
            <c:numRef>
              <c:f>'LH per Tony Ladson'!$B$33:$B$392</c:f>
              <c:numCache>
                <c:formatCode>0.00</c:formatCode>
                <c:ptCount val="360"/>
                <c:pt idx="0">
                  <c:v>0.85192535760595789</c:v>
                </c:pt>
                <c:pt idx="1">
                  <c:v>0.81849060081804437</c:v>
                </c:pt>
                <c:pt idx="2">
                  <c:v>0.76382291326053997</c:v>
                </c:pt>
                <c:pt idx="3">
                  <c:v>0.66897464702433629</c:v>
                </c:pt>
                <c:pt idx="4">
                  <c:v>0.59288100271403366</c:v>
                </c:pt>
                <c:pt idx="5">
                  <c:v>0.55271423508932471</c:v>
                </c:pt>
                <c:pt idx="6">
                  <c:v>0.51330519507098094</c:v>
                </c:pt>
                <c:pt idx="7">
                  <c:v>0.48587468988515498</c:v>
                </c:pt>
                <c:pt idx="8">
                  <c:v>0.49229751778890579</c:v>
                </c:pt>
                <c:pt idx="9">
                  <c:v>0.52930995477155551</c:v>
                </c:pt>
                <c:pt idx="10">
                  <c:v>1.2133494323944498</c:v>
                </c:pt>
                <c:pt idx="11">
                  <c:v>0.8497202444446591</c:v>
                </c:pt>
                <c:pt idx="12">
                  <c:v>0.74486570379831163</c:v>
                </c:pt>
                <c:pt idx="13">
                  <c:v>0.77130368174585173</c:v>
                </c:pt>
                <c:pt idx="14">
                  <c:v>0.75791870298967234</c:v>
                </c:pt>
                <c:pt idx="15">
                  <c:v>0.66029716277081307</c:v>
                </c:pt>
                <c:pt idx="16">
                  <c:v>0.58755296389431166</c:v>
                </c:pt>
                <c:pt idx="17">
                  <c:v>0.56660801423874407</c:v>
                </c:pt>
                <c:pt idx="18">
                  <c:v>0.50869100133830136</c:v>
                </c:pt>
                <c:pt idx="19">
                  <c:v>0.48262738536537969</c:v>
                </c:pt>
                <c:pt idx="20">
                  <c:v>0.45927977394038505</c:v>
                </c:pt>
                <c:pt idx="21">
                  <c:v>0.44284880849640934</c:v>
                </c:pt>
                <c:pt idx="22">
                  <c:v>0.46738558510500189</c:v>
                </c:pt>
                <c:pt idx="23">
                  <c:v>0.76050112180332452</c:v>
                </c:pt>
                <c:pt idx="24">
                  <c:v>0.87360986370156335</c:v>
                </c:pt>
                <c:pt idx="25">
                  <c:v>0.86305789450232784</c:v>
                </c:pt>
                <c:pt idx="26">
                  <c:v>0.78415227691585165</c:v>
                </c:pt>
                <c:pt idx="27">
                  <c:v>0.70436871118050226</c:v>
                </c:pt>
                <c:pt idx="28">
                  <c:v>0.64696564994048178</c:v>
                </c:pt>
                <c:pt idx="29">
                  <c:v>0.59985129294935591</c:v>
                </c:pt>
                <c:pt idx="30">
                  <c:v>0.57304656562056766</c:v>
                </c:pt>
                <c:pt idx="31">
                  <c:v>0.60137132149800587</c:v>
                </c:pt>
                <c:pt idx="32">
                  <c:v>0.85440539514242275</c:v>
                </c:pt>
                <c:pt idx="33">
                  <c:v>1.1294645182611676</c:v>
                </c:pt>
                <c:pt idx="34">
                  <c:v>0.9917471105773914</c:v>
                </c:pt>
                <c:pt idx="35">
                  <c:v>0.8053950149134802</c:v>
                </c:pt>
                <c:pt idx="36">
                  <c:v>0.69901503131928955</c:v>
                </c:pt>
                <c:pt idx="37">
                  <c:v>0.63163878914956928</c:v>
                </c:pt>
                <c:pt idx="38">
                  <c:v>0.57676412705900082</c:v>
                </c:pt>
                <c:pt idx="39">
                  <c:v>0.54689071213682705</c:v>
                </c:pt>
                <c:pt idx="40">
                  <c:v>0.55419815337065825</c:v>
                </c:pt>
                <c:pt idx="41">
                  <c:v>0.54023714714675497</c:v>
                </c:pt>
                <c:pt idx="42">
                  <c:v>0.50607011607994379</c:v>
                </c:pt>
                <c:pt idx="43">
                  <c:v>0.4946509582444461</c:v>
                </c:pt>
                <c:pt idx="44">
                  <c:v>0.47750266369589278</c:v>
                </c:pt>
                <c:pt idx="45">
                  <c:v>0.45970815700388101</c:v>
                </c:pt>
                <c:pt idx="46">
                  <c:v>0.45612197063272403</c:v>
                </c:pt>
                <c:pt idx="47">
                  <c:v>0.45664141651363127</c:v>
                </c:pt>
                <c:pt idx="48">
                  <c:v>0.64326985409503779</c:v>
                </c:pt>
                <c:pt idx="49">
                  <c:v>0.55577933042232786</c:v>
                </c:pt>
                <c:pt idx="50">
                  <c:v>0.50147285467356095</c:v>
                </c:pt>
                <c:pt idx="51">
                  <c:v>0.47334835461701985</c:v>
                </c:pt>
                <c:pt idx="52">
                  <c:v>0.50624933929991045</c:v>
                </c:pt>
                <c:pt idx="53">
                  <c:v>0.65085766674050249</c:v>
                </c:pt>
                <c:pt idx="54">
                  <c:v>0.67841427133624688</c:v>
                </c:pt>
                <c:pt idx="55">
                  <c:v>0.63033719533313937</c:v>
                </c:pt>
                <c:pt idx="56">
                  <c:v>0.60017161963954557</c:v>
                </c:pt>
                <c:pt idx="57">
                  <c:v>0.56199105175786235</c:v>
                </c:pt>
                <c:pt idx="58">
                  <c:v>0.53210338612492702</c:v>
                </c:pt>
                <c:pt idx="59">
                  <c:v>0.50214238186182081</c:v>
                </c:pt>
                <c:pt idx="60">
                  <c:v>0.57434666682329605</c:v>
                </c:pt>
                <c:pt idx="61">
                  <c:v>0.68483465787854636</c:v>
                </c:pt>
                <c:pt idx="62">
                  <c:v>0.68287094515386837</c:v>
                </c:pt>
                <c:pt idx="63">
                  <c:v>0.68368874074768682</c:v>
                </c:pt>
                <c:pt idx="64">
                  <c:v>0.71967919665909552</c:v>
                </c:pt>
                <c:pt idx="65">
                  <c:v>0.70363036393532397</c:v>
                </c:pt>
                <c:pt idx="66">
                  <c:v>0.66497366320291951</c:v>
                </c:pt>
                <c:pt idx="67">
                  <c:v>0.71159724057822127</c:v>
                </c:pt>
                <c:pt idx="68">
                  <c:v>1.0634072699848358</c:v>
                </c:pt>
                <c:pt idx="69">
                  <c:v>1.3838857072816706</c:v>
                </c:pt>
                <c:pt idx="70">
                  <c:v>1.09663130661492</c:v>
                </c:pt>
                <c:pt idx="71">
                  <c:v>0.93469573680923312</c:v>
                </c:pt>
                <c:pt idx="72">
                  <c:v>0.82940139738917906</c:v>
                </c:pt>
                <c:pt idx="73">
                  <c:v>0.74678201799460264</c:v>
                </c:pt>
                <c:pt idx="74">
                  <c:v>0.6869369575384664</c:v>
                </c:pt>
                <c:pt idx="75">
                  <c:v>0.63726708885455075</c:v>
                </c:pt>
                <c:pt idx="76">
                  <c:v>0.59539406529184757</c:v>
                </c:pt>
                <c:pt idx="77">
                  <c:v>0.60711234844078954</c:v>
                </c:pt>
                <c:pt idx="78">
                  <c:v>0.73744336902132046</c:v>
                </c:pt>
                <c:pt idx="79">
                  <c:v>1.3186097843450759</c:v>
                </c:pt>
                <c:pt idx="80">
                  <c:v>0.88187669220646747</c:v>
                </c:pt>
                <c:pt idx="81">
                  <c:v>0.80486804622803731</c:v>
                </c:pt>
                <c:pt idx="82">
                  <c:v>0.77390990097075052</c:v>
                </c:pt>
                <c:pt idx="83">
                  <c:v>0.70228570370193377</c:v>
                </c:pt>
                <c:pt idx="84">
                  <c:v>0.65792219249389783</c:v>
                </c:pt>
                <c:pt idx="85">
                  <c:v>0.6100041432717298</c:v>
                </c:pt>
                <c:pt idx="86">
                  <c:v>0.57458300462477951</c:v>
                </c:pt>
                <c:pt idx="87">
                  <c:v>1.4076920058263178</c:v>
                </c:pt>
                <c:pt idx="88">
                  <c:v>1.6521449367513892</c:v>
                </c:pt>
                <c:pt idx="89">
                  <c:v>1.0129065741265137</c:v>
                </c:pt>
                <c:pt idx="90">
                  <c:v>0.84679104395296145</c:v>
                </c:pt>
                <c:pt idx="91">
                  <c:v>0.7492055275600612</c:v>
                </c:pt>
                <c:pt idx="92">
                  <c:v>0.68201897983492132</c:v>
                </c:pt>
                <c:pt idx="93">
                  <c:v>0.63081292145514001</c:v>
                </c:pt>
                <c:pt idx="94">
                  <c:v>0.65536854139367839</c:v>
                </c:pt>
                <c:pt idx="95">
                  <c:v>0.59025468657163305</c:v>
                </c:pt>
                <c:pt idx="96">
                  <c:v>0.54707884300224874</c:v>
                </c:pt>
                <c:pt idx="97">
                  <c:v>0.55899870659998718</c:v>
                </c:pt>
                <c:pt idx="98">
                  <c:v>0.64744134616176818</c:v>
                </c:pt>
                <c:pt idx="99">
                  <c:v>0.64125333853712307</c:v>
                </c:pt>
                <c:pt idx="100">
                  <c:v>0.541806562010273</c:v>
                </c:pt>
                <c:pt idx="101">
                  <c:v>0.50351313759501393</c:v>
                </c:pt>
                <c:pt idx="102">
                  <c:v>0.50393633190379927</c:v>
                </c:pt>
                <c:pt idx="103">
                  <c:v>0.60967210167584718</c:v>
                </c:pt>
                <c:pt idx="104">
                  <c:v>0.49393861507341597</c:v>
                </c:pt>
                <c:pt idx="105">
                  <c:v>0.46721191018726421</c:v>
                </c:pt>
                <c:pt idx="106">
                  <c:v>0.44446209803551556</c:v>
                </c:pt>
                <c:pt idx="107">
                  <c:v>0.43934311843657636</c:v>
                </c:pt>
                <c:pt idx="108">
                  <c:v>0.4286062726701379</c:v>
                </c:pt>
                <c:pt idx="109">
                  <c:v>0.41394935395766358</c:v>
                </c:pt>
                <c:pt idx="110">
                  <c:v>0.41266230016667244</c:v>
                </c:pt>
                <c:pt idx="111">
                  <c:v>0.41202110384393337</c:v>
                </c:pt>
                <c:pt idx="112">
                  <c:v>0.39926408483107673</c:v>
                </c:pt>
                <c:pt idx="113">
                  <c:v>0.38036741372404176</c:v>
                </c:pt>
                <c:pt idx="114">
                  <c:v>0.37199439705109233</c:v>
                </c:pt>
                <c:pt idx="115">
                  <c:v>0.37072238691297565</c:v>
                </c:pt>
                <c:pt idx="116">
                  <c:v>0.37434070120702428</c:v>
                </c:pt>
                <c:pt idx="117">
                  <c:v>0.41553177087839105</c:v>
                </c:pt>
                <c:pt idx="118">
                  <c:v>0.49800931628838835</c:v>
                </c:pt>
                <c:pt idx="119">
                  <c:v>1.2240471826805173</c:v>
                </c:pt>
                <c:pt idx="120">
                  <c:v>2.4535543186222699</c:v>
                </c:pt>
                <c:pt idx="121">
                  <c:v>1.2193217829172076</c:v>
                </c:pt>
                <c:pt idx="122">
                  <c:v>0.9449929837560479</c:v>
                </c:pt>
                <c:pt idx="123">
                  <c:v>0.80389142363985711</c:v>
                </c:pt>
                <c:pt idx="124">
                  <c:v>0.74456649909244199</c:v>
                </c:pt>
                <c:pt idx="125">
                  <c:v>0.69318290031068708</c:v>
                </c:pt>
                <c:pt idx="126">
                  <c:v>0.65517450331985305</c:v>
                </c:pt>
                <c:pt idx="127">
                  <c:v>0.61574836233247965</c:v>
                </c:pt>
                <c:pt idx="128">
                  <c:v>0.60709992572109273</c:v>
                </c:pt>
                <c:pt idx="129">
                  <c:v>0.56519903109054415</c:v>
                </c:pt>
                <c:pt idx="130">
                  <c:v>0.57897278313535527</c:v>
                </c:pt>
                <c:pt idx="131">
                  <c:v>0.55462997470209585</c:v>
                </c:pt>
                <c:pt idx="132">
                  <c:v>0.53143521385542503</c:v>
                </c:pt>
                <c:pt idx="133">
                  <c:v>0.51160312847450118</c:v>
                </c:pt>
                <c:pt idx="134">
                  <c:v>0.66119506026329866</c:v>
                </c:pt>
                <c:pt idx="135">
                  <c:v>0.76933459922886061</c:v>
                </c:pt>
                <c:pt idx="136">
                  <c:v>0.60500577498888009</c:v>
                </c:pt>
                <c:pt idx="137">
                  <c:v>3.3599261358698711</c:v>
                </c:pt>
                <c:pt idx="138">
                  <c:v>3.5797367523728045</c:v>
                </c:pt>
                <c:pt idx="139">
                  <c:v>2.5723841438798165</c:v>
                </c:pt>
                <c:pt idx="140">
                  <c:v>1.6031583842629324</c:v>
                </c:pt>
                <c:pt idx="141">
                  <c:v>1.0609780750928222</c:v>
                </c:pt>
                <c:pt idx="142">
                  <c:v>0.86412419867110979</c:v>
                </c:pt>
                <c:pt idx="143">
                  <c:v>0.73682916642234264</c:v>
                </c:pt>
                <c:pt idx="144">
                  <c:v>0.68211490367855587</c:v>
                </c:pt>
                <c:pt idx="145">
                  <c:v>0.62940948365968474</c:v>
                </c:pt>
                <c:pt idx="146">
                  <c:v>0.61029121048552237</c:v>
                </c:pt>
                <c:pt idx="147">
                  <c:v>0.55201936050507527</c:v>
                </c:pt>
                <c:pt idx="148">
                  <c:v>0.5921584819654252</c:v>
                </c:pt>
                <c:pt idx="149">
                  <c:v>0.75137739444886398</c:v>
                </c:pt>
                <c:pt idx="150">
                  <c:v>0.56364326987571156</c:v>
                </c:pt>
                <c:pt idx="151">
                  <c:v>0.51312722932660559</c:v>
                </c:pt>
                <c:pt idx="152">
                  <c:v>0.48719337772765919</c:v>
                </c:pt>
                <c:pt idx="153">
                  <c:v>0.49014373992807481</c:v>
                </c:pt>
                <c:pt idx="154">
                  <c:v>0.59740995887872772</c:v>
                </c:pt>
                <c:pt idx="155">
                  <c:v>0.4803562288031995</c:v>
                </c:pt>
                <c:pt idx="156">
                  <c:v>0.52471157364395216</c:v>
                </c:pt>
                <c:pt idx="157">
                  <c:v>0.4805355630186427</c:v>
                </c:pt>
                <c:pt idx="158">
                  <c:v>0.44028329731060373</c:v>
                </c:pt>
                <c:pt idx="159">
                  <c:v>0.41989478170499717</c:v>
                </c:pt>
                <c:pt idx="160">
                  <c:v>0.46170702684025322</c:v>
                </c:pt>
                <c:pt idx="161">
                  <c:v>0.66621363919419629</c:v>
                </c:pt>
                <c:pt idx="162">
                  <c:v>0.60882897438192429</c:v>
                </c:pt>
                <c:pt idx="163">
                  <c:v>0.45807485655158658</c:v>
                </c:pt>
                <c:pt idx="164">
                  <c:v>0.40669036072192372</c:v>
                </c:pt>
                <c:pt idx="165">
                  <c:v>0.37969634317212614</c:v>
                </c:pt>
                <c:pt idx="166">
                  <c:v>0.37573930770628944</c:v>
                </c:pt>
                <c:pt idx="167">
                  <c:v>0.3664651462138015</c:v>
                </c:pt>
                <c:pt idx="168">
                  <c:v>0.37044326653852228</c:v>
                </c:pt>
                <c:pt idx="169">
                  <c:v>0.36177540387296198</c:v>
                </c:pt>
                <c:pt idx="170">
                  <c:v>0.35196331662254776</c:v>
                </c:pt>
                <c:pt idx="171">
                  <c:v>0.3738675838533867</c:v>
                </c:pt>
                <c:pt idx="172">
                  <c:v>0.35534969359687524</c:v>
                </c:pt>
                <c:pt idx="173">
                  <c:v>0.50432156472992207</c:v>
                </c:pt>
                <c:pt idx="174">
                  <c:v>1.0868513591300217</c:v>
                </c:pt>
                <c:pt idx="175">
                  <c:v>0.70341507310861662</c:v>
                </c:pt>
                <c:pt idx="176">
                  <c:v>0.48438270633145614</c:v>
                </c:pt>
                <c:pt idx="177">
                  <c:v>0.58420376134806673</c:v>
                </c:pt>
                <c:pt idx="178">
                  <c:v>0.64157032000342518</c:v>
                </c:pt>
                <c:pt idx="179">
                  <c:v>0.46208165397585726</c:v>
                </c:pt>
                <c:pt idx="180">
                  <c:v>0.47553987154404748</c:v>
                </c:pt>
                <c:pt idx="181">
                  <c:v>0.54529270789622308</c:v>
                </c:pt>
                <c:pt idx="182">
                  <c:v>0.52906422217022109</c:v>
                </c:pt>
                <c:pt idx="183">
                  <c:v>0.51093286049700237</c:v>
                </c:pt>
                <c:pt idx="184">
                  <c:v>0.50941438255292459</c:v>
                </c:pt>
                <c:pt idx="185">
                  <c:v>0.47058411604302103</c:v>
                </c:pt>
                <c:pt idx="186">
                  <c:v>0.46733722419066659</c:v>
                </c:pt>
                <c:pt idx="187">
                  <c:v>0.48774175974956813</c:v>
                </c:pt>
                <c:pt idx="188">
                  <c:v>0.57408733492450292</c:v>
                </c:pt>
                <c:pt idx="189">
                  <c:v>0.61010114000629001</c:v>
                </c:pt>
                <c:pt idx="190">
                  <c:v>0.86852241162162569</c:v>
                </c:pt>
                <c:pt idx="191">
                  <c:v>2.0097938767658596</c:v>
                </c:pt>
                <c:pt idx="192">
                  <c:v>0.93174270761285183</c:v>
                </c:pt>
                <c:pt idx="193">
                  <c:v>0.66526323037684587</c:v>
                </c:pt>
                <c:pt idx="194">
                  <c:v>0.56945466170315118</c:v>
                </c:pt>
                <c:pt idx="195">
                  <c:v>0.54264755313976887</c:v>
                </c:pt>
                <c:pt idx="196">
                  <c:v>1.1672449577906416</c:v>
                </c:pt>
                <c:pt idx="197">
                  <c:v>1.7799801917795388</c:v>
                </c:pt>
                <c:pt idx="198">
                  <c:v>0.9902393008591831</c:v>
                </c:pt>
                <c:pt idx="199">
                  <c:v>0.78705037153942736</c:v>
                </c:pt>
                <c:pt idx="200">
                  <c:v>0.69521549566259822</c:v>
                </c:pt>
                <c:pt idx="201">
                  <c:v>0.60852282114502876</c:v>
                </c:pt>
                <c:pt idx="202">
                  <c:v>0.55196291657028629</c:v>
                </c:pt>
                <c:pt idx="203">
                  <c:v>0.53574072076010826</c:v>
                </c:pt>
                <c:pt idx="204">
                  <c:v>0.49023961319616643</c:v>
                </c:pt>
                <c:pt idx="205">
                  <c:v>0.46105264120186251</c:v>
                </c:pt>
                <c:pt idx="206">
                  <c:v>0.4451062300734574</c:v>
                </c:pt>
                <c:pt idx="207">
                  <c:v>0.48876563239361981</c:v>
                </c:pt>
                <c:pt idx="208">
                  <c:v>0.47330776337120262</c:v>
                </c:pt>
                <c:pt idx="209">
                  <c:v>0.4469664676166501</c:v>
                </c:pt>
                <c:pt idx="210">
                  <c:v>0.44293574880517822</c:v>
                </c:pt>
                <c:pt idx="211">
                  <c:v>0.42146945009695663</c:v>
                </c:pt>
                <c:pt idx="212">
                  <c:v>0.42500181539521864</c:v>
                </c:pt>
                <c:pt idx="213">
                  <c:v>0.40892750687957752</c:v>
                </c:pt>
                <c:pt idx="214">
                  <c:v>0.53237811187128314</c:v>
                </c:pt>
                <c:pt idx="215">
                  <c:v>0.55549209301112124</c:v>
                </c:pt>
                <c:pt idx="216">
                  <c:v>0.45632565226302901</c:v>
                </c:pt>
                <c:pt idx="217">
                  <c:v>0.44277731496653416</c:v>
                </c:pt>
                <c:pt idx="218">
                  <c:v>0.41366319943217356</c:v>
                </c:pt>
                <c:pt idx="219">
                  <c:v>0.41553458307866326</c:v>
                </c:pt>
                <c:pt idx="220">
                  <c:v>0.41168757125431044</c:v>
                </c:pt>
                <c:pt idx="221">
                  <c:v>0.53197825430486612</c:v>
                </c:pt>
                <c:pt idx="222">
                  <c:v>0.58341106444479263</c:v>
                </c:pt>
                <c:pt idx="223">
                  <c:v>0.48937802849541301</c:v>
                </c:pt>
                <c:pt idx="224">
                  <c:v>0.42269178797705104</c:v>
                </c:pt>
                <c:pt idx="225">
                  <c:v>0.40376875274673923</c:v>
                </c:pt>
                <c:pt idx="226">
                  <c:v>0.38473682255269442</c:v>
                </c:pt>
                <c:pt idx="227">
                  <c:v>0.36535579252539424</c:v>
                </c:pt>
                <c:pt idx="228">
                  <c:v>0.3627248396768597</c:v>
                </c:pt>
                <c:pt idx="229">
                  <c:v>0.35233910336050323</c:v>
                </c:pt>
                <c:pt idx="230">
                  <c:v>0.35355720613379216</c:v>
                </c:pt>
                <c:pt idx="231">
                  <c:v>0.36311540374683421</c:v>
                </c:pt>
                <c:pt idx="232">
                  <c:v>0.35537349883607167</c:v>
                </c:pt>
                <c:pt idx="233">
                  <c:v>0.35822159894666544</c:v>
                </c:pt>
                <c:pt idx="234">
                  <c:v>0.33185394813535057</c:v>
                </c:pt>
                <c:pt idx="235">
                  <c:v>0.3319861284447278</c:v>
                </c:pt>
                <c:pt idx="236">
                  <c:v>0.33861435597611639</c:v>
                </c:pt>
                <c:pt idx="237">
                  <c:v>0.98225843492657416</c:v>
                </c:pt>
                <c:pt idx="238">
                  <c:v>0.53700877651340495</c:v>
                </c:pt>
                <c:pt idx="239">
                  <c:v>0.57620954708862304</c:v>
                </c:pt>
                <c:pt idx="240">
                  <c:v>0.7357925729794067</c:v>
                </c:pt>
                <c:pt idx="241">
                  <c:v>0.65958122979845413</c:v>
                </c:pt>
                <c:pt idx="242">
                  <c:v>0.45549081673298764</c:v>
                </c:pt>
                <c:pt idx="243">
                  <c:v>0.41493024037798421</c:v>
                </c:pt>
                <c:pt idx="244">
                  <c:v>0.38555365975412648</c:v>
                </c:pt>
                <c:pt idx="245">
                  <c:v>0.61979521936282722</c:v>
                </c:pt>
                <c:pt idx="246">
                  <c:v>0.43393076377385681</c:v>
                </c:pt>
                <c:pt idx="247">
                  <c:v>0.3961719460926742</c:v>
                </c:pt>
                <c:pt idx="248">
                  <c:v>0.36584469016684312</c:v>
                </c:pt>
                <c:pt idx="249">
                  <c:v>0.36418077925284087</c:v>
                </c:pt>
                <c:pt idx="250">
                  <c:v>0.35171952040190813</c:v>
                </c:pt>
                <c:pt idx="251">
                  <c:v>0.63931912016996373</c:v>
                </c:pt>
                <c:pt idx="252">
                  <c:v>0.70196606259242511</c:v>
                </c:pt>
                <c:pt idx="253">
                  <c:v>0.85432166061878678</c:v>
                </c:pt>
                <c:pt idx="254">
                  <c:v>0.88756819379921004</c:v>
                </c:pt>
                <c:pt idx="255">
                  <c:v>1.2745304260948724</c:v>
                </c:pt>
                <c:pt idx="256">
                  <c:v>0.78616918430453575</c:v>
                </c:pt>
                <c:pt idx="257">
                  <c:v>0.57690026787591897</c:v>
                </c:pt>
                <c:pt idx="258">
                  <c:v>0.49109454433463195</c:v>
                </c:pt>
                <c:pt idx="259">
                  <c:v>0.44682164539829311</c:v>
                </c:pt>
                <c:pt idx="260">
                  <c:v>0.41778120615490272</c:v>
                </c:pt>
                <c:pt idx="261">
                  <c:v>0.41690604581775964</c:v>
                </c:pt>
                <c:pt idx="262">
                  <c:v>0.38708106695045735</c:v>
                </c:pt>
                <c:pt idx="263">
                  <c:v>0.36590069251669027</c:v>
                </c:pt>
                <c:pt idx="264">
                  <c:v>0.36929734818729459</c:v>
                </c:pt>
                <c:pt idx="265">
                  <c:v>0.39230211624391381</c:v>
                </c:pt>
                <c:pt idx="266">
                  <c:v>0.42348198847571489</c:v>
                </c:pt>
                <c:pt idx="267">
                  <c:v>0.37129016587624775</c:v>
                </c:pt>
                <c:pt idx="268">
                  <c:v>0.37273357664269602</c:v>
                </c:pt>
                <c:pt idx="269">
                  <c:v>0.36229858009695753</c:v>
                </c:pt>
                <c:pt idx="270">
                  <c:v>0.37663745313663388</c:v>
                </c:pt>
                <c:pt idx="271">
                  <c:v>0.51676773725918634</c:v>
                </c:pt>
                <c:pt idx="272">
                  <c:v>0.45034361035931908</c:v>
                </c:pt>
                <c:pt idx="273">
                  <c:v>0.41905886707324519</c:v>
                </c:pt>
                <c:pt idx="274">
                  <c:v>0.50195505281761865</c:v>
                </c:pt>
                <c:pt idx="275">
                  <c:v>0.5133544800107056</c:v>
                </c:pt>
                <c:pt idx="276">
                  <c:v>0.52351120321377964</c:v>
                </c:pt>
                <c:pt idx="277">
                  <c:v>0.57216916438795229</c:v>
                </c:pt>
                <c:pt idx="278">
                  <c:v>0.40631697721469795</c:v>
                </c:pt>
                <c:pt idx="279">
                  <c:v>0.36799375646975702</c:v>
                </c:pt>
                <c:pt idx="280">
                  <c:v>0.29525566108689194</c:v>
                </c:pt>
                <c:pt idx="281">
                  <c:v>0.23703072738863598</c:v>
                </c:pt>
                <c:pt idx="282">
                  <c:v>0.24422187812367782</c:v>
                </c:pt>
                <c:pt idx="283">
                  <c:v>0.23607057171261811</c:v>
                </c:pt>
                <c:pt idx="284">
                  <c:v>0.23286488400760766</c:v>
                </c:pt>
                <c:pt idx="285">
                  <c:v>0.36493024175159411</c:v>
                </c:pt>
                <c:pt idx="286">
                  <c:v>0.27026438798393854</c:v>
                </c:pt>
                <c:pt idx="287">
                  <c:v>0.2462260632114964</c:v>
                </c:pt>
                <c:pt idx="288">
                  <c:v>0.2372886968080368</c:v>
                </c:pt>
                <c:pt idx="289">
                  <c:v>0.22871083625605318</c:v>
                </c:pt>
                <c:pt idx="290">
                  <c:v>0.22162108463524047</c:v>
                </c:pt>
                <c:pt idx="291">
                  <c:v>0.3289873127095661</c:v>
                </c:pt>
                <c:pt idx="292">
                  <c:v>0.25721216787316942</c:v>
                </c:pt>
                <c:pt idx="293">
                  <c:v>0.22374377582606519</c:v>
                </c:pt>
                <c:pt idx="294">
                  <c:v>0.27407134929023297</c:v>
                </c:pt>
                <c:pt idx="295">
                  <c:v>1.1475482027824273</c:v>
                </c:pt>
                <c:pt idx="296">
                  <c:v>1.0980834525706926</c:v>
                </c:pt>
                <c:pt idx="297">
                  <c:v>0.65500366255889508</c:v>
                </c:pt>
                <c:pt idx="298">
                  <c:v>0.45263634384371337</c:v>
                </c:pt>
                <c:pt idx="299">
                  <c:v>0.40667036581002991</c:v>
                </c:pt>
                <c:pt idx="300">
                  <c:v>0.3885607170470331</c:v>
                </c:pt>
                <c:pt idx="301">
                  <c:v>0.34515003045654086</c:v>
                </c:pt>
                <c:pt idx="302">
                  <c:v>0.33345007809440869</c:v>
                </c:pt>
                <c:pt idx="303">
                  <c:v>0.32397075206082859</c:v>
                </c:pt>
                <c:pt idx="304">
                  <c:v>0.31776041495243507</c:v>
                </c:pt>
                <c:pt idx="305">
                  <c:v>0.29685431004512841</c:v>
                </c:pt>
                <c:pt idx="306">
                  <c:v>0.31050454104141573</c:v>
                </c:pt>
                <c:pt idx="307">
                  <c:v>0.29753032471424068</c:v>
                </c:pt>
                <c:pt idx="308">
                  <c:v>0.29834160976542823</c:v>
                </c:pt>
                <c:pt idx="309">
                  <c:v>0.26777806874876159</c:v>
                </c:pt>
                <c:pt idx="310">
                  <c:v>0.26827838741962612</c:v>
                </c:pt>
                <c:pt idx="311">
                  <c:v>0.24552599957060126</c:v>
                </c:pt>
                <c:pt idx="312">
                  <c:v>0.2734559832429902</c:v>
                </c:pt>
                <c:pt idx="313">
                  <c:v>0.23935474992464531</c:v>
                </c:pt>
                <c:pt idx="314">
                  <c:v>0.30120557325810349</c:v>
                </c:pt>
                <c:pt idx="315">
                  <c:v>0.31377388490559138</c:v>
                </c:pt>
                <c:pt idx="316">
                  <c:v>0.28662749597495585</c:v>
                </c:pt>
                <c:pt idx="317">
                  <c:v>0.26729403109927635</c:v>
                </c:pt>
                <c:pt idx="318">
                  <c:v>0.26413839301897379</c:v>
                </c:pt>
                <c:pt idx="319">
                  <c:v>0.40351570498675088</c:v>
                </c:pt>
                <c:pt idx="320">
                  <c:v>0.29397692664689928</c:v>
                </c:pt>
                <c:pt idx="321">
                  <c:v>0.27674250260201888</c:v>
                </c:pt>
                <c:pt idx="322">
                  <c:v>0.24354663838562862</c:v>
                </c:pt>
                <c:pt idx="323">
                  <c:v>0.24391990684307366</c:v>
                </c:pt>
                <c:pt idx="324">
                  <c:v>0.23829671786444398</c:v>
                </c:pt>
                <c:pt idx="325">
                  <c:v>0.25079473873284391</c:v>
                </c:pt>
                <c:pt idx="326">
                  <c:v>0.25393648859946494</c:v>
                </c:pt>
                <c:pt idx="327">
                  <c:v>0.25260814734355985</c:v>
                </c:pt>
                <c:pt idx="328">
                  <c:v>0.51471417357078753</c:v>
                </c:pt>
                <c:pt idx="329">
                  <c:v>1.0925447577173439</c:v>
                </c:pt>
                <c:pt idx="330">
                  <c:v>0.90711113320091485</c:v>
                </c:pt>
                <c:pt idx="331">
                  <c:v>0.60145555756188085</c:v>
                </c:pt>
                <c:pt idx="332">
                  <c:v>0.45350215392969129</c:v>
                </c:pt>
                <c:pt idx="333">
                  <c:v>0.39035248607774159</c:v>
                </c:pt>
                <c:pt idx="334">
                  <c:v>0.3476555135050175</c:v>
                </c:pt>
                <c:pt idx="335">
                  <c:v>0.32620370997277448</c:v>
                </c:pt>
                <c:pt idx="336">
                  <c:v>0.31957792238571442</c:v>
                </c:pt>
                <c:pt idx="337">
                  <c:v>0.29971773686037967</c:v>
                </c:pt>
                <c:pt idx="338">
                  <c:v>0.30484142829225264</c:v>
                </c:pt>
                <c:pt idx="339">
                  <c:v>0.29954356651120106</c:v>
                </c:pt>
                <c:pt idx="340">
                  <c:v>0.29570558478844761</c:v>
                </c:pt>
                <c:pt idx="341">
                  <c:v>0.28285828225890525</c:v>
                </c:pt>
                <c:pt idx="342">
                  <c:v>0.28032351306021014</c:v>
                </c:pt>
                <c:pt idx="343">
                  <c:v>0.27123865962116339</c:v>
                </c:pt>
                <c:pt idx="344">
                  <c:v>0.27020623655704673</c:v>
                </c:pt>
                <c:pt idx="345">
                  <c:v>0.37661694233124798</c:v>
                </c:pt>
                <c:pt idx="346">
                  <c:v>1.6420432814931445</c:v>
                </c:pt>
                <c:pt idx="347">
                  <c:v>0.95381117274173999</c:v>
                </c:pt>
                <c:pt idx="348">
                  <c:v>0.6934728982286007</c:v>
                </c:pt>
                <c:pt idx="349">
                  <c:v>0.49526365789205268</c:v>
                </c:pt>
                <c:pt idx="350">
                  <c:v>0.44506123255176316</c:v>
                </c:pt>
                <c:pt idx="351">
                  <c:v>0.39787493600212986</c:v>
                </c:pt>
                <c:pt idx="352">
                  <c:v>0.35763424662213034</c:v>
                </c:pt>
                <c:pt idx="353">
                  <c:v>0.35218165211293789</c:v>
                </c:pt>
                <c:pt idx="354">
                  <c:v>0.34583177892502498</c:v>
                </c:pt>
                <c:pt idx="355">
                  <c:v>0.3245401853015672</c:v>
                </c:pt>
                <c:pt idx="356">
                  <c:v>0.31764874876178623</c:v>
                </c:pt>
                <c:pt idx="357">
                  <c:v>0.32599420610084623</c:v>
                </c:pt>
                <c:pt idx="358">
                  <c:v>0.30276260261793558</c:v>
                </c:pt>
                <c:pt idx="359">
                  <c:v>0.27503039600379453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2E-43ED-BCB0-E0F625AE410A}"/>
            </c:ext>
          </c:extLst>
        </c:ser>
        <c:ser>
          <c:idx val="1"/>
          <c:order val="1"/>
          <c:tx>
            <c:v>Baseflow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'LH per Tony Ladson'!$A$33:$A$392</c:f>
              <c:numCache>
                <c:formatCode>m/d/yyyy</c:formatCode>
                <c:ptCount val="360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  <c:pt idx="180">
                  <c:v>44011</c:v>
                </c:pt>
                <c:pt idx="181">
                  <c:v>44012</c:v>
                </c:pt>
                <c:pt idx="182">
                  <c:v>44013</c:v>
                </c:pt>
                <c:pt idx="183">
                  <c:v>44014</c:v>
                </c:pt>
                <c:pt idx="184">
                  <c:v>44015</c:v>
                </c:pt>
                <c:pt idx="185">
                  <c:v>44016</c:v>
                </c:pt>
                <c:pt idx="186">
                  <c:v>44017</c:v>
                </c:pt>
                <c:pt idx="187">
                  <c:v>44018</c:v>
                </c:pt>
                <c:pt idx="188">
                  <c:v>44019</c:v>
                </c:pt>
                <c:pt idx="189">
                  <c:v>44020</c:v>
                </c:pt>
                <c:pt idx="190">
                  <c:v>44021</c:v>
                </c:pt>
                <c:pt idx="191">
                  <c:v>44022</c:v>
                </c:pt>
                <c:pt idx="192">
                  <c:v>44023</c:v>
                </c:pt>
                <c:pt idx="193">
                  <c:v>44024</c:v>
                </c:pt>
                <c:pt idx="194">
                  <c:v>44025</c:v>
                </c:pt>
                <c:pt idx="195">
                  <c:v>44026</c:v>
                </c:pt>
                <c:pt idx="196">
                  <c:v>44027</c:v>
                </c:pt>
                <c:pt idx="197">
                  <c:v>44028</c:v>
                </c:pt>
                <c:pt idx="198">
                  <c:v>44029</c:v>
                </c:pt>
                <c:pt idx="199">
                  <c:v>44030</c:v>
                </c:pt>
                <c:pt idx="200">
                  <c:v>44031</c:v>
                </c:pt>
                <c:pt idx="201">
                  <c:v>44032</c:v>
                </c:pt>
                <c:pt idx="202">
                  <c:v>44033</c:v>
                </c:pt>
                <c:pt idx="203">
                  <c:v>44034</c:v>
                </c:pt>
                <c:pt idx="204">
                  <c:v>44035</c:v>
                </c:pt>
                <c:pt idx="205">
                  <c:v>44036</c:v>
                </c:pt>
                <c:pt idx="206">
                  <c:v>44037</c:v>
                </c:pt>
                <c:pt idx="207">
                  <c:v>44038</c:v>
                </c:pt>
                <c:pt idx="208">
                  <c:v>44039</c:v>
                </c:pt>
                <c:pt idx="209">
                  <c:v>44040</c:v>
                </c:pt>
                <c:pt idx="210">
                  <c:v>44041</c:v>
                </c:pt>
                <c:pt idx="211">
                  <c:v>44042</c:v>
                </c:pt>
                <c:pt idx="212">
                  <c:v>44043</c:v>
                </c:pt>
                <c:pt idx="213">
                  <c:v>44044</c:v>
                </c:pt>
                <c:pt idx="214">
                  <c:v>44045</c:v>
                </c:pt>
                <c:pt idx="215">
                  <c:v>44046</c:v>
                </c:pt>
                <c:pt idx="216">
                  <c:v>44047</c:v>
                </c:pt>
                <c:pt idx="217">
                  <c:v>44048</c:v>
                </c:pt>
                <c:pt idx="218">
                  <c:v>44049</c:v>
                </c:pt>
                <c:pt idx="219">
                  <c:v>44050</c:v>
                </c:pt>
                <c:pt idx="220">
                  <c:v>44051</c:v>
                </c:pt>
                <c:pt idx="221">
                  <c:v>44052</c:v>
                </c:pt>
                <c:pt idx="222">
                  <c:v>44053</c:v>
                </c:pt>
                <c:pt idx="223">
                  <c:v>44054</c:v>
                </c:pt>
                <c:pt idx="224">
                  <c:v>44055</c:v>
                </c:pt>
                <c:pt idx="225">
                  <c:v>44056</c:v>
                </c:pt>
                <c:pt idx="226">
                  <c:v>44057</c:v>
                </c:pt>
                <c:pt idx="227">
                  <c:v>44058</c:v>
                </c:pt>
                <c:pt idx="228">
                  <c:v>44059</c:v>
                </c:pt>
                <c:pt idx="229">
                  <c:v>44060</c:v>
                </c:pt>
                <c:pt idx="230">
                  <c:v>44061</c:v>
                </c:pt>
                <c:pt idx="231">
                  <c:v>44062</c:v>
                </c:pt>
                <c:pt idx="232">
                  <c:v>44063</c:v>
                </c:pt>
                <c:pt idx="233">
                  <c:v>44064</c:v>
                </c:pt>
                <c:pt idx="234">
                  <c:v>44065</c:v>
                </c:pt>
                <c:pt idx="235">
                  <c:v>44066</c:v>
                </c:pt>
                <c:pt idx="236">
                  <c:v>44067</c:v>
                </c:pt>
                <c:pt idx="237">
                  <c:v>44068</c:v>
                </c:pt>
                <c:pt idx="238">
                  <c:v>44069</c:v>
                </c:pt>
                <c:pt idx="239">
                  <c:v>44070</c:v>
                </c:pt>
                <c:pt idx="240">
                  <c:v>44071</c:v>
                </c:pt>
                <c:pt idx="241">
                  <c:v>44072</c:v>
                </c:pt>
                <c:pt idx="242">
                  <c:v>44073</c:v>
                </c:pt>
                <c:pt idx="243">
                  <c:v>44074</c:v>
                </c:pt>
                <c:pt idx="244">
                  <c:v>44075</c:v>
                </c:pt>
                <c:pt idx="245">
                  <c:v>44076</c:v>
                </c:pt>
                <c:pt idx="246">
                  <c:v>44077</c:v>
                </c:pt>
                <c:pt idx="247">
                  <c:v>44078</c:v>
                </c:pt>
                <c:pt idx="248">
                  <c:v>44079</c:v>
                </c:pt>
                <c:pt idx="249">
                  <c:v>44080</c:v>
                </c:pt>
                <c:pt idx="250">
                  <c:v>44081</c:v>
                </c:pt>
                <c:pt idx="251">
                  <c:v>44082</c:v>
                </c:pt>
                <c:pt idx="252">
                  <c:v>44083</c:v>
                </c:pt>
                <c:pt idx="253">
                  <c:v>44084</c:v>
                </c:pt>
                <c:pt idx="254">
                  <c:v>44085</c:v>
                </c:pt>
                <c:pt idx="255">
                  <c:v>44086</c:v>
                </c:pt>
                <c:pt idx="256">
                  <c:v>44087</c:v>
                </c:pt>
                <c:pt idx="257">
                  <c:v>44088</c:v>
                </c:pt>
                <c:pt idx="258">
                  <c:v>44089</c:v>
                </c:pt>
                <c:pt idx="259">
                  <c:v>44090</c:v>
                </c:pt>
                <c:pt idx="260">
                  <c:v>44091</c:v>
                </c:pt>
                <c:pt idx="261">
                  <c:v>44092</c:v>
                </c:pt>
                <c:pt idx="262">
                  <c:v>44093</c:v>
                </c:pt>
                <c:pt idx="263">
                  <c:v>44094</c:v>
                </c:pt>
                <c:pt idx="264">
                  <c:v>44095</c:v>
                </c:pt>
                <c:pt idx="265">
                  <c:v>44096</c:v>
                </c:pt>
                <c:pt idx="266">
                  <c:v>44097</c:v>
                </c:pt>
                <c:pt idx="267">
                  <c:v>44098</c:v>
                </c:pt>
                <c:pt idx="268">
                  <c:v>44099</c:v>
                </c:pt>
                <c:pt idx="269">
                  <c:v>44100</c:v>
                </c:pt>
                <c:pt idx="270">
                  <c:v>44101</c:v>
                </c:pt>
                <c:pt idx="271">
                  <c:v>44102</c:v>
                </c:pt>
                <c:pt idx="272">
                  <c:v>44103</c:v>
                </c:pt>
                <c:pt idx="273">
                  <c:v>44104</c:v>
                </c:pt>
                <c:pt idx="274">
                  <c:v>44105</c:v>
                </c:pt>
                <c:pt idx="275">
                  <c:v>44106</c:v>
                </c:pt>
                <c:pt idx="276">
                  <c:v>44107</c:v>
                </c:pt>
                <c:pt idx="277">
                  <c:v>44108</c:v>
                </c:pt>
                <c:pt idx="278">
                  <c:v>44109</c:v>
                </c:pt>
                <c:pt idx="279">
                  <c:v>44110</c:v>
                </c:pt>
                <c:pt idx="280">
                  <c:v>44111</c:v>
                </c:pt>
                <c:pt idx="281">
                  <c:v>44112</c:v>
                </c:pt>
                <c:pt idx="282">
                  <c:v>44113</c:v>
                </c:pt>
                <c:pt idx="283">
                  <c:v>44114</c:v>
                </c:pt>
                <c:pt idx="284">
                  <c:v>44115</c:v>
                </c:pt>
                <c:pt idx="285">
                  <c:v>44116</c:v>
                </c:pt>
                <c:pt idx="286">
                  <c:v>44117</c:v>
                </c:pt>
                <c:pt idx="287">
                  <c:v>44118</c:v>
                </c:pt>
                <c:pt idx="288">
                  <c:v>44119</c:v>
                </c:pt>
                <c:pt idx="289">
                  <c:v>44120</c:v>
                </c:pt>
                <c:pt idx="290">
                  <c:v>44121</c:v>
                </c:pt>
                <c:pt idx="291">
                  <c:v>44122</c:v>
                </c:pt>
                <c:pt idx="292">
                  <c:v>44123</c:v>
                </c:pt>
                <c:pt idx="293">
                  <c:v>44124</c:v>
                </c:pt>
                <c:pt idx="294">
                  <c:v>44125</c:v>
                </c:pt>
                <c:pt idx="295">
                  <c:v>44126</c:v>
                </c:pt>
                <c:pt idx="296">
                  <c:v>44127</c:v>
                </c:pt>
                <c:pt idx="297">
                  <c:v>44128</c:v>
                </c:pt>
                <c:pt idx="298">
                  <c:v>44129</c:v>
                </c:pt>
                <c:pt idx="299">
                  <c:v>44130</c:v>
                </c:pt>
                <c:pt idx="300">
                  <c:v>44131</c:v>
                </c:pt>
                <c:pt idx="301">
                  <c:v>44132</c:v>
                </c:pt>
                <c:pt idx="302">
                  <c:v>44133</c:v>
                </c:pt>
                <c:pt idx="303">
                  <c:v>44134</c:v>
                </c:pt>
                <c:pt idx="304">
                  <c:v>44135</c:v>
                </c:pt>
                <c:pt idx="305">
                  <c:v>44136</c:v>
                </c:pt>
                <c:pt idx="306">
                  <c:v>44137</c:v>
                </c:pt>
                <c:pt idx="307">
                  <c:v>44138</c:v>
                </c:pt>
                <c:pt idx="308">
                  <c:v>44139</c:v>
                </c:pt>
                <c:pt idx="309">
                  <c:v>44140</c:v>
                </c:pt>
                <c:pt idx="310">
                  <c:v>44141</c:v>
                </c:pt>
                <c:pt idx="311">
                  <c:v>44142</c:v>
                </c:pt>
                <c:pt idx="312">
                  <c:v>44143</c:v>
                </c:pt>
                <c:pt idx="313">
                  <c:v>44144</c:v>
                </c:pt>
                <c:pt idx="314">
                  <c:v>44145</c:v>
                </c:pt>
                <c:pt idx="315">
                  <c:v>44146</c:v>
                </c:pt>
                <c:pt idx="316">
                  <c:v>44147</c:v>
                </c:pt>
                <c:pt idx="317">
                  <c:v>44148</c:v>
                </c:pt>
                <c:pt idx="318">
                  <c:v>44149</c:v>
                </c:pt>
                <c:pt idx="319">
                  <c:v>44150</c:v>
                </c:pt>
                <c:pt idx="320">
                  <c:v>44151</c:v>
                </c:pt>
                <c:pt idx="321">
                  <c:v>44152</c:v>
                </c:pt>
                <c:pt idx="322">
                  <c:v>44153</c:v>
                </c:pt>
                <c:pt idx="323">
                  <c:v>44154</c:v>
                </c:pt>
                <c:pt idx="324">
                  <c:v>44155</c:v>
                </c:pt>
                <c:pt idx="325">
                  <c:v>44156</c:v>
                </c:pt>
                <c:pt idx="326">
                  <c:v>44157</c:v>
                </c:pt>
                <c:pt idx="327">
                  <c:v>44158</c:v>
                </c:pt>
                <c:pt idx="328">
                  <c:v>44159</c:v>
                </c:pt>
                <c:pt idx="329">
                  <c:v>44160</c:v>
                </c:pt>
                <c:pt idx="330">
                  <c:v>44161</c:v>
                </c:pt>
                <c:pt idx="331">
                  <c:v>44162</c:v>
                </c:pt>
                <c:pt idx="332">
                  <c:v>44163</c:v>
                </c:pt>
                <c:pt idx="333">
                  <c:v>44164</c:v>
                </c:pt>
                <c:pt idx="334">
                  <c:v>44165</c:v>
                </c:pt>
                <c:pt idx="335">
                  <c:v>44166</c:v>
                </c:pt>
                <c:pt idx="336">
                  <c:v>44167</c:v>
                </c:pt>
                <c:pt idx="337">
                  <c:v>44168</c:v>
                </c:pt>
                <c:pt idx="338">
                  <c:v>44169</c:v>
                </c:pt>
                <c:pt idx="339">
                  <c:v>44170</c:v>
                </c:pt>
                <c:pt idx="340">
                  <c:v>44171</c:v>
                </c:pt>
                <c:pt idx="341">
                  <c:v>44172</c:v>
                </c:pt>
                <c:pt idx="342">
                  <c:v>44173</c:v>
                </c:pt>
                <c:pt idx="343">
                  <c:v>44174</c:v>
                </c:pt>
                <c:pt idx="344">
                  <c:v>44175</c:v>
                </c:pt>
                <c:pt idx="345">
                  <c:v>44176</c:v>
                </c:pt>
                <c:pt idx="346">
                  <c:v>44177</c:v>
                </c:pt>
                <c:pt idx="347">
                  <c:v>44178</c:v>
                </c:pt>
                <c:pt idx="348">
                  <c:v>44179</c:v>
                </c:pt>
                <c:pt idx="349">
                  <c:v>44180</c:v>
                </c:pt>
                <c:pt idx="350">
                  <c:v>44181</c:v>
                </c:pt>
                <c:pt idx="351">
                  <c:v>44182</c:v>
                </c:pt>
                <c:pt idx="352">
                  <c:v>44183</c:v>
                </c:pt>
                <c:pt idx="353">
                  <c:v>44184</c:v>
                </c:pt>
                <c:pt idx="354">
                  <c:v>44185</c:v>
                </c:pt>
                <c:pt idx="355">
                  <c:v>44186</c:v>
                </c:pt>
                <c:pt idx="356">
                  <c:v>44187</c:v>
                </c:pt>
                <c:pt idx="357">
                  <c:v>44188</c:v>
                </c:pt>
                <c:pt idx="358">
                  <c:v>44189</c:v>
                </c:pt>
                <c:pt idx="359">
                  <c:v>44190</c:v>
                </c:pt>
              </c:numCache>
            </c:numRef>
          </c:xVal>
          <c:yVal>
            <c:numRef>
              <c:f>'LH per Tony Ladson'!$H$33:$H$392</c:f>
              <c:numCache>
                <c:formatCode>0.00</c:formatCode>
                <c:ptCount val="360"/>
                <c:pt idx="0">
                  <c:v>0.56425316486291621</c:v>
                </c:pt>
                <c:pt idx="1">
                  <c:v>0.56696248116102077</c:v>
                </c:pt>
                <c:pt idx="2">
                  <c:v>0.56901289709168379</c:v>
                </c:pt>
                <c:pt idx="3">
                  <c:v>0.57039547893133369</c:v>
                </c:pt>
                <c:pt idx="4">
                  <c:v>0.57126992736630877</c:v>
                </c:pt>
                <c:pt idx="5">
                  <c:v>0.55271423508932471</c:v>
                </c:pt>
                <c:pt idx="6">
                  <c:v>0.51330519507098094</c:v>
                </c:pt>
                <c:pt idx="7">
                  <c:v>0.48587468988515498</c:v>
                </c:pt>
                <c:pt idx="8">
                  <c:v>0.49229751778890579</c:v>
                </c:pt>
                <c:pt idx="9">
                  <c:v>0.52930995477155551</c:v>
                </c:pt>
                <c:pt idx="10">
                  <c:v>0.55502328195439055</c:v>
                </c:pt>
                <c:pt idx="11">
                  <c:v>0.55887152237149662</c:v>
                </c:pt>
                <c:pt idx="12">
                  <c:v>0.5620323401531031</c:v>
                </c:pt>
                <c:pt idx="13">
                  <c:v>0.56444553589077817</c:v>
                </c:pt>
                <c:pt idx="14">
                  <c:v>0.56608722561574698</c:v>
                </c:pt>
                <c:pt idx="15">
                  <c:v>0.56699792455572118</c:v>
                </c:pt>
                <c:pt idx="16">
                  <c:v>0.56739637007339616</c:v>
                </c:pt>
                <c:pt idx="17">
                  <c:v>0.56660801423874407</c:v>
                </c:pt>
                <c:pt idx="18">
                  <c:v>0.50869100133830136</c:v>
                </c:pt>
                <c:pt idx="19">
                  <c:v>0.48262738536537969</c:v>
                </c:pt>
                <c:pt idx="20">
                  <c:v>0.45927977394038505</c:v>
                </c:pt>
                <c:pt idx="21">
                  <c:v>0.44284880849640934</c:v>
                </c:pt>
                <c:pt idx="22">
                  <c:v>0.46738558510500189</c:v>
                </c:pt>
                <c:pt idx="23">
                  <c:v>0.53906825607352205</c:v>
                </c:pt>
                <c:pt idx="24">
                  <c:v>0.5447680112113642</c:v>
                </c:pt>
                <c:pt idx="25">
                  <c:v>0.54993191961207255</c:v>
                </c:pt>
                <c:pt idx="26">
                  <c:v>0.55449494642036545</c:v>
                </c:pt>
                <c:pt idx="27">
                  <c:v>0.5584090356408884</c:v>
                </c:pt>
                <c:pt idx="28">
                  <c:v>0.5616931998233351</c:v>
                </c:pt>
                <c:pt idx="29">
                  <c:v>0.56449688283002908</c:v>
                </c:pt>
                <c:pt idx="30">
                  <c:v>0.56607864811036912</c:v>
                </c:pt>
                <c:pt idx="31">
                  <c:v>0.56761336827792164</c:v>
                </c:pt>
                <c:pt idx="32">
                  <c:v>0.56995172064407529</c:v>
                </c:pt>
                <c:pt idx="33">
                  <c:v>0.5717931799684649</c:v>
                </c:pt>
                <c:pt idx="34">
                  <c:v>0.57294112315009971</c:v>
                </c:pt>
                <c:pt idx="35">
                  <c:v>0.57159458437504018</c:v>
                </c:pt>
                <c:pt idx="36">
                  <c:v>0.56012501856774288</c:v>
                </c:pt>
                <c:pt idx="37">
                  <c:v>0.55159513545963312</c:v>
                </c:pt>
                <c:pt idx="38">
                  <c:v>0.54732975794790462</c:v>
                </c:pt>
                <c:pt idx="39">
                  <c:v>0.54615427186817411</c:v>
                </c:pt>
                <c:pt idx="40">
                  <c:v>0.5457983128774524</c:v>
                </c:pt>
                <c:pt idx="41">
                  <c:v>0.54023714714675497</c:v>
                </c:pt>
                <c:pt idx="42">
                  <c:v>0.50607011607994379</c:v>
                </c:pt>
                <c:pt idx="43">
                  <c:v>0.4946509582444461</c:v>
                </c:pt>
                <c:pt idx="44">
                  <c:v>0.47750266369589278</c:v>
                </c:pt>
                <c:pt idx="45">
                  <c:v>0.45970815700388101</c:v>
                </c:pt>
                <c:pt idx="46">
                  <c:v>0.45612197063272403</c:v>
                </c:pt>
                <c:pt idx="47">
                  <c:v>0.45664141651363127</c:v>
                </c:pt>
                <c:pt idx="48">
                  <c:v>0.53181153325401054</c:v>
                </c:pt>
                <c:pt idx="49">
                  <c:v>0.53474288023394501</c:v>
                </c:pt>
                <c:pt idx="50">
                  <c:v>0.50147285467356095</c:v>
                </c:pt>
                <c:pt idx="51">
                  <c:v>0.47334835461701985</c:v>
                </c:pt>
                <c:pt idx="52">
                  <c:v>0.50624933929991045</c:v>
                </c:pt>
                <c:pt idx="53">
                  <c:v>0.52886503551539688</c:v>
                </c:pt>
                <c:pt idx="54">
                  <c:v>0.53296129759450417</c:v>
                </c:pt>
                <c:pt idx="55">
                  <c:v>0.5371779749498955</c:v>
                </c:pt>
                <c:pt idx="56">
                  <c:v>0.54133507817406812</c:v>
                </c:pt>
                <c:pt idx="57">
                  <c:v>0.54406542760417398</c:v>
                </c:pt>
                <c:pt idx="58">
                  <c:v>0.53210338612492702</c:v>
                </c:pt>
                <c:pt idx="59">
                  <c:v>0.50214238186182081</c:v>
                </c:pt>
                <c:pt idx="60">
                  <c:v>0.5419510680375218</c:v>
                </c:pt>
                <c:pt idx="61">
                  <c:v>0.54474367866833839</c:v>
                </c:pt>
                <c:pt idx="62">
                  <c:v>0.54797054967341008</c:v>
                </c:pt>
                <c:pt idx="63">
                  <c:v>0.55149426739777485</c:v>
                </c:pt>
                <c:pt idx="64">
                  <c:v>0.55530230384184942</c:v>
                </c:pt>
                <c:pt idx="65">
                  <c:v>0.55941199479676451</c:v>
                </c:pt>
                <c:pt idx="66">
                  <c:v>0.56370778513208097</c:v>
                </c:pt>
                <c:pt idx="67">
                  <c:v>0.56807291669297355</c:v>
                </c:pt>
                <c:pt idx="68">
                  <c:v>0.57304432515478576</c:v>
                </c:pt>
                <c:pt idx="69">
                  <c:v>0.58001221803318859</c:v>
                </c:pt>
                <c:pt idx="70">
                  <c:v>0.58806081438911195</c:v>
                </c:pt>
                <c:pt idx="71">
                  <c:v>0.59531860969456418</c:v>
                </c:pt>
                <c:pt idx="72">
                  <c:v>0.60164973727009541</c:v>
                </c:pt>
                <c:pt idx="73">
                  <c:v>0.60705086212435821</c:v>
                </c:pt>
                <c:pt idx="74">
                  <c:v>0.61167244183484604</c:v>
                </c:pt>
                <c:pt idx="75">
                  <c:v>0.61469931780744502</c:v>
                </c:pt>
                <c:pt idx="76">
                  <c:v>0.59539406529184757</c:v>
                </c:pt>
                <c:pt idx="77">
                  <c:v>0.60711234844078954</c:v>
                </c:pt>
                <c:pt idx="78">
                  <c:v>0.61595264189430021</c:v>
                </c:pt>
                <c:pt idx="79">
                  <c:v>0.62040744918978175</c:v>
                </c:pt>
                <c:pt idx="80">
                  <c:v>0.62407262988665047</c:v>
                </c:pt>
                <c:pt idx="81">
                  <c:v>0.6268483728645563</c:v>
                </c:pt>
                <c:pt idx="82">
                  <c:v>0.62870646244066164</c:v>
                </c:pt>
                <c:pt idx="83">
                  <c:v>0.62978008541875641</c:v>
                </c:pt>
                <c:pt idx="84">
                  <c:v>0.63037135224267193</c:v>
                </c:pt>
                <c:pt idx="85">
                  <c:v>0.6100041432717298</c:v>
                </c:pt>
                <c:pt idx="86">
                  <c:v>0.57458300462477951</c:v>
                </c:pt>
                <c:pt idx="87">
                  <c:v>0.62542304482188549</c:v>
                </c:pt>
                <c:pt idx="88">
                  <c:v>0.62447778545020882</c:v>
                </c:pt>
                <c:pt idx="89">
                  <c:v>0.60679894958203917</c:v>
                </c:pt>
                <c:pt idx="90">
                  <c:v>0.58673944287404045</c:v>
                </c:pt>
                <c:pt idx="91">
                  <c:v>0.56961034750519146</c:v>
                </c:pt>
                <c:pt idx="92">
                  <c:v>0.55777235511122114</c:v>
                </c:pt>
                <c:pt idx="93">
                  <c:v>0.54977422574361501</c:v>
                </c:pt>
                <c:pt idx="94">
                  <c:v>0.54220802258030731</c:v>
                </c:pt>
                <c:pt idx="95">
                  <c:v>0.53567259625038721</c:v>
                </c:pt>
                <c:pt idx="96">
                  <c:v>0.53299739339607199</c:v>
                </c:pt>
                <c:pt idx="97">
                  <c:v>0.53137241652539258</c:v>
                </c:pt>
                <c:pt idx="98">
                  <c:v>0.52554693464521818</c:v>
                </c:pt>
                <c:pt idx="99">
                  <c:v>0.51591446915568628</c:v>
                </c:pt>
                <c:pt idx="100">
                  <c:v>0.50978348420017172</c:v>
                </c:pt>
                <c:pt idx="101">
                  <c:v>0.50351313759501393</c:v>
                </c:pt>
                <c:pt idx="102">
                  <c:v>0.50393633190379927</c:v>
                </c:pt>
                <c:pt idx="103">
                  <c:v>0.50528187805490565</c:v>
                </c:pt>
                <c:pt idx="104">
                  <c:v>0.49393861507341597</c:v>
                </c:pt>
                <c:pt idx="105">
                  <c:v>0.46721191018726421</c:v>
                </c:pt>
                <c:pt idx="106">
                  <c:v>0.44446209803551556</c:v>
                </c:pt>
                <c:pt idx="107">
                  <c:v>0.43934311843657636</c:v>
                </c:pt>
                <c:pt idx="108">
                  <c:v>0.4286062726701379</c:v>
                </c:pt>
                <c:pt idx="109">
                  <c:v>0.41394935395766358</c:v>
                </c:pt>
                <c:pt idx="110">
                  <c:v>0.41266230016667244</c:v>
                </c:pt>
                <c:pt idx="111">
                  <c:v>0.41202110384393337</c:v>
                </c:pt>
                <c:pt idx="112">
                  <c:v>0.39926408483107673</c:v>
                </c:pt>
                <c:pt idx="113">
                  <c:v>0.38036741372404176</c:v>
                </c:pt>
                <c:pt idx="114">
                  <c:v>0.37199439705109233</c:v>
                </c:pt>
                <c:pt idx="115">
                  <c:v>0.37072238691297565</c:v>
                </c:pt>
                <c:pt idx="116">
                  <c:v>0.37434070120702428</c:v>
                </c:pt>
                <c:pt idx="117">
                  <c:v>0.41553177087839105</c:v>
                </c:pt>
                <c:pt idx="118">
                  <c:v>0.45973148793942642</c:v>
                </c:pt>
                <c:pt idx="119">
                  <c:v>0.46377342304432623</c:v>
                </c:pt>
                <c:pt idx="120">
                  <c:v>0.4723664545558276</c:v>
                </c:pt>
                <c:pt idx="121">
                  <c:v>0.48578293894108449</c:v>
                </c:pt>
                <c:pt idx="122">
                  <c:v>0.4998054825656465</c:v>
                </c:pt>
                <c:pt idx="123">
                  <c:v>0.51236115103843327</c:v>
                </c:pt>
                <c:pt idx="124">
                  <c:v>0.52347139507393914</c:v>
                </c:pt>
                <c:pt idx="125">
                  <c:v>0.53329923390600076</c:v>
                </c:pt>
                <c:pt idx="126">
                  <c:v>0.54213447327747355</c:v>
                </c:pt>
                <c:pt idx="127">
                  <c:v>0.54894757698760754</c:v>
                </c:pt>
                <c:pt idx="128">
                  <c:v>0.55363331951554595</c:v>
                </c:pt>
                <c:pt idx="129">
                  <c:v>0.55607203143231632</c:v>
                </c:pt>
                <c:pt idx="130">
                  <c:v>0.55727307210836385</c:v>
                </c:pt>
                <c:pt idx="131">
                  <c:v>0.55462997470209585</c:v>
                </c:pt>
                <c:pt idx="132">
                  <c:v>0.53143521385542503</c:v>
                </c:pt>
                <c:pt idx="133">
                  <c:v>0.51160312847450118</c:v>
                </c:pt>
                <c:pt idx="134">
                  <c:v>0.55662884935181056</c:v>
                </c:pt>
                <c:pt idx="135">
                  <c:v>0.56482264782524316</c:v>
                </c:pt>
                <c:pt idx="136">
                  <c:v>0.57029481321537767</c:v>
                </c:pt>
                <c:pt idx="137">
                  <c:v>0.57723906429695038</c:v>
                </c:pt>
                <c:pt idx="138">
                  <c:v>0.58754556762422749</c:v>
                </c:pt>
                <c:pt idx="139">
                  <c:v>0.59557858220978999</c:v>
                </c:pt>
                <c:pt idx="140">
                  <c:v>0.60049029168978407</c:v>
                </c:pt>
                <c:pt idx="141">
                  <c:v>0.60164115930038253</c:v>
                </c:pt>
                <c:pt idx="142">
                  <c:v>0.57237818814511909</c:v>
                </c:pt>
                <c:pt idx="143">
                  <c:v>0.55388371562606986</c:v>
                </c:pt>
                <c:pt idx="144">
                  <c:v>0.54126844648355255</c:v>
                </c:pt>
                <c:pt idx="145">
                  <c:v>0.53198516968472276</c:v>
                </c:pt>
                <c:pt idx="146">
                  <c:v>0.52486096611273236</c:v>
                </c:pt>
                <c:pt idx="147">
                  <c:v>0.52029656183847028</c:v>
                </c:pt>
                <c:pt idx="148">
                  <c:v>0.51609718134683946</c:v>
                </c:pt>
                <c:pt idx="149">
                  <c:v>0.5034752280878958</c:v>
                </c:pt>
                <c:pt idx="150">
                  <c:v>0.49098589532510728</c:v>
                </c:pt>
                <c:pt idx="151">
                  <c:v>0.48714270443785984</c:v>
                </c:pt>
                <c:pt idx="152">
                  <c:v>0.48608722343062155</c:v>
                </c:pt>
                <c:pt idx="153">
                  <c:v>0.48587792596598001</c:v>
                </c:pt>
                <c:pt idx="154">
                  <c:v>0.48118341866024317</c:v>
                </c:pt>
                <c:pt idx="155">
                  <c:v>0.47650506661856312</c:v>
                </c:pt>
                <c:pt idx="156">
                  <c:v>0.47439462056950804</c:v>
                </c:pt>
                <c:pt idx="157">
                  <c:v>0.47210578696720079</c:v>
                </c:pt>
                <c:pt idx="158">
                  <c:v>0.44028329731060373</c:v>
                </c:pt>
                <c:pt idx="159">
                  <c:v>0.41989478170499717</c:v>
                </c:pt>
                <c:pt idx="160">
                  <c:v>0.46170702684025322</c:v>
                </c:pt>
                <c:pt idx="161">
                  <c:v>0.47258200860490096</c:v>
                </c:pt>
                <c:pt idx="162">
                  <c:v>0.45920855199545557</c:v>
                </c:pt>
                <c:pt idx="163">
                  <c:v>0.45318881982210696</c:v>
                </c:pt>
                <c:pt idx="164">
                  <c:v>0.40669036072192372</c:v>
                </c:pt>
                <c:pt idx="165">
                  <c:v>0.37969634317212614</c:v>
                </c:pt>
                <c:pt idx="166">
                  <c:v>0.37573930770628944</c:v>
                </c:pt>
                <c:pt idx="167">
                  <c:v>0.3664651462138015</c:v>
                </c:pt>
                <c:pt idx="168">
                  <c:v>0.37044326653852228</c:v>
                </c:pt>
                <c:pt idx="169">
                  <c:v>0.36177540387296198</c:v>
                </c:pt>
                <c:pt idx="170">
                  <c:v>0.35196331662254776</c:v>
                </c:pt>
                <c:pt idx="171">
                  <c:v>0.3738675838533867</c:v>
                </c:pt>
                <c:pt idx="172">
                  <c:v>0.35534969359687524</c:v>
                </c:pt>
                <c:pt idx="173">
                  <c:v>0.43639873666416396</c:v>
                </c:pt>
                <c:pt idx="174">
                  <c:v>0.44266346061938133</c:v>
                </c:pt>
                <c:pt idx="175">
                  <c:v>0.44960358626544927</c:v>
                </c:pt>
                <c:pt idx="176">
                  <c:v>0.45410498344783418</c:v>
                </c:pt>
                <c:pt idx="177">
                  <c:v>0.45834092914344665</c:v>
                </c:pt>
                <c:pt idx="178">
                  <c:v>0.46414016877896674</c:v>
                </c:pt>
                <c:pt idx="179">
                  <c:v>0.46208165397585726</c:v>
                </c:pt>
                <c:pt idx="180">
                  <c:v>0.46686113724370748</c:v>
                </c:pt>
                <c:pt idx="181">
                  <c:v>0.4700863079016423</c:v>
                </c:pt>
                <c:pt idx="182">
                  <c:v>0.47507675390871351</c:v>
                </c:pt>
                <c:pt idx="183">
                  <c:v>0.47844588796558085</c:v>
                </c:pt>
                <c:pt idx="184">
                  <c:v>0.48082546798253456</c:v>
                </c:pt>
                <c:pt idx="185">
                  <c:v>0.47058411604302103</c:v>
                </c:pt>
                <c:pt idx="186">
                  <c:v>0.46733722419066659</c:v>
                </c:pt>
                <c:pt idx="187">
                  <c:v>0.48034459817752262</c:v>
                </c:pt>
                <c:pt idx="188">
                  <c:v>0.48259824439234073</c:v>
                </c:pt>
                <c:pt idx="189">
                  <c:v>0.48654780314926932</c:v>
                </c:pt>
                <c:pt idx="190">
                  <c:v>0.49093489238029991</c:v>
                </c:pt>
                <c:pt idx="191">
                  <c:v>0.49651303459341051</c:v>
                </c:pt>
                <c:pt idx="192">
                  <c:v>0.50240317730069251</c:v>
                </c:pt>
                <c:pt idx="193">
                  <c:v>0.50731927179671288</c:v>
                </c:pt>
                <c:pt idx="194">
                  <c:v>0.51139362112215503</c:v>
                </c:pt>
                <c:pt idx="195">
                  <c:v>0.51436862832590768</c:v>
                </c:pt>
                <c:pt idx="196">
                  <c:v>0.51695933393825511</c:v>
                </c:pt>
                <c:pt idx="197">
                  <c:v>0.51932706583405308</c:v>
                </c:pt>
                <c:pt idx="198">
                  <c:v>0.52031792274403177</c:v>
                </c:pt>
                <c:pt idx="199">
                  <c:v>0.50142712712567605</c:v>
                </c:pt>
                <c:pt idx="200">
                  <c:v>0.4819915211952433</c:v>
                </c:pt>
                <c:pt idx="201">
                  <c:v>0.46821765871887278</c:v>
                </c:pt>
                <c:pt idx="202">
                  <c:v>0.45913453357248479</c:v>
                </c:pt>
                <c:pt idx="203">
                  <c:v>0.45226556451091349</c:v>
                </c:pt>
                <c:pt idx="204">
                  <c:v>0.44734194809465211</c:v>
                </c:pt>
                <c:pt idx="205">
                  <c:v>0.4450470146537579</c:v>
                </c:pt>
                <c:pt idx="206">
                  <c:v>0.44439573727668474</c:v>
                </c:pt>
                <c:pt idx="207">
                  <c:v>0.44256815398288579</c:v>
                </c:pt>
                <c:pt idx="208">
                  <c:v>0.43944908285589723</c:v>
                </c:pt>
                <c:pt idx="209">
                  <c:v>0.43777167480416512</c:v>
                </c:pt>
                <c:pt idx="210">
                  <c:v>0.43718955858199632</c:v>
                </c:pt>
                <c:pt idx="211">
                  <c:v>0.42146945009695663</c:v>
                </c:pt>
                <c:pt idx="212">
                  <c:v>0.42500181539521864</c:v>
                </c:pt>
                <c:pt idx="213">
                  <c:v>0.40892750687957752</c:v>
                </c:pt>
                <c:pt idx="214">
                  <c:v>0.43808234068901636</c:v>
                </c:pt>
                <c:pt idx="215">
                  <c:v>0.42949968433073105</c:v>
                </c:pt>
                <c:pt idx="216">
                  <c:v>0.42330434473832479</c:v>
                </c:pt>
                <c:pt idx="217">
                  <c:v>0.4211761983429364</c:v>
                </c:pt>
                <c:pt idx="218">
                  <c:v>0.41366319943217356</c:v>
                </c:pt>
                <c:pt idx="219">
                  <c:v>0.41553458307866326</c:v>
                </c:pt>
                <c:pt idx="220">
                  <c:v>0.41168757125431044</c:v>
                </c:pt>
                <c:pt idx="221">
                  <c:v>0.41775603899013242</c:v>
                </c:pt>
                <c:pt idx="222">
                  <c:v>0.40865215366566543</c:v>
                </c:pt>
                <c:pt idx="223">
                  <c:v>0.40041477911363377</c:v>
                </c:pt>
                <c:pt idx="224">
                  <c:v>0.39590503891450424</c:v>
                </c:pt>
                <c:pt idx="225">
                  <c:v>0.39450029041876983</c:v>
                </c:pt>
                <c:pt idx="226">
                  <c:v>0.38473682255269442</c:v>
                </c:pt>
                <c:pt idx="227">
                  <c:v>0.36535579252539424</c:v>
                </c:pt>
                <c:pt idx="228">
                  <c:v>0.3627248396768597</c:v>
                </c:pt>
                <c:pt idx="229">
                  <c:v>0.35233910336050323</c:v>
                </c:pt>
                <c:pt idx="230">
                  <c:v>0.35355720613379216</c:v>
                </c:pt>
                <c:pt idx="231">
                  <c:v>0.36311540374683421</c:v>
                </c:pt>
                <c:pt idx="232">
                  <c:v>0.35537349883607167</c:v>
                </c:pt>
                <c:pt idx="233">
                  <c:v>0.35822159894666544</c:v>
                </c:pt>
                <c:pt idx="234">
                  <c:v>0.33185394813535057</c:v>
                </c:pt>
                <c:pt idx="235">
                  <c:v>0.3319861284447278</c:v>
                </c:pt>
                <c:pt idx="236">
                  <c:v>0.33861435597611639</c:v>
                </c:pt>
                <c:pt idx="237">
                  <c:v>0.38773480597790144</c:v>
                </c:pt>
                <c:pt idx="238">
                  <c:v>0.39181419369456516</c:v>
                </c:pt>
                <c:pt idx="239">
                  <c:v>0.39559991994944566</c:v>
                </c:pt>
                <c:pt idx="240">
                  <c:v>0.39891212763126738</c:v>
                </c:pt>
                <c:pt idx="241">
                  <c:v>0.40169428806319712</c:v>
                </c:pt>
                <c:pt idx="242">
                  <c:v>0.40396382450891427</c:v>
                </c:pt>
                <c:pt idx="243">
                  <c:v>0.4053567550479012</c:v>
                </c:pt>
                <c:pt idx="244">
                  <c:v>0.38555365975412648</c:v>
                </c:pt>
                <c:pt idx="245">
                  <c:v>0.40524032875757499</c:v>
                </c:pt>
                <c:pt idx="246">
                  <c:v>0.40711305561123923</c:v>
                </c:pt>
                <c:pt idx="247">
                  <c:v>0.3961719460926742</c:v>
                </c:pt>
                <c:pt idx="248">
                  <c:v>0.36584469016684312</c:v>
                </c:pt>
                <c:pt idx="249">
                  <c:v>0.36418077925284087</c:v>
                </c:pt>
                <c:pt idx="250">
                  <c:v>0.35171952040190813</c:v>
                </c:pt>
                <c:pt idx="251">
                  <c:v>0.39925038455774681</c:v>
                </c:pt>
                <c:pt idx="252">
                  <c:v>0.40292070901493382</c:v>
                </c:pt>
                <c:pt idx="253">
                  <c:v>0.40609920750362771</c:v>
                </c:pt>
                <c:pt idx="254">
                  <c:v>0.40867263961871497</c:v>
                </c:pt>
                <c:pt idx="255">
                  <c:v>0.41047665229326219</c:v>
                </c:pt>
                <c:pt idx="256">
                  <c:v>0.41130300098369665</c:v>
                </c:pt>
                <c:pt idx="257">
                  <c:v>0.40056016510821407</c:v>
                </c:pt>
                <c:pt idx="258">
                  <c:v>0.38974092935169563</c:v>
                </c:pt>
                <c:pt idx="259">
                  <c:v>0.38331791593157938</c:v>
                </c:pt>
                <c:pt idx="260">
                  <c:v>0.37934627999819948</c:v>
                </c:pt>
                <c:pt idx="261">
                  <c:v>0.37626541410726988</c:v>
                </c:pt>
                <c:pt idx="262">
                  <c:v>0.37417934851725598</c:v>
                </c:pt>
                <c:pt idx="263">
                  <c:v>0.36590069251669027</c:v>
                </c:pt>
                <c:pt idx="264">
                  <c:v>0.36929734818729459</c:v>
                </c:pt>
                <c:pt idx="265">
                  <c:v>0.37400031452847599</c:v>
                </c:pt>
                <c:pt idx="266">
                  <c:v>0.37125233578539452</c:v>
                </c:pt>
                <c:pt idx="267">
                  <c:v>0.36913338378075233</c:v>
                </c:pt>
                <c:pt idx="268">
                  <c:v>0.36889999290409942</c:v>
                </c:pt>
                <c:pt idx="269">
                  <c:v>0.36229858009695753</c:v>
                </c:pt>
                <c:pt idx="270">
                  <c:v>0.36897524426421879</c:v>
                </c:pt>
                <c:pt idx="271">
                  <c:v>0.36442821192276398</c:v>
                </c:pt>
                <c:pt idx="272">
                  <c:v>0.35652441382837974</c:v>
                </c:pt>
                <c:pt idx="273">
                  <c:v>0.3501857523509822</c:v>
                </c:pt>
                <c:pt idx="274">
                  <c:v>0.34251770069124943</c:v>
                </c:pt>
                <c:pt idx="275">
                  <c:v>0.33203107150840516</c:v>
                </c:pt>
                <c:pt idx="276">
                  <c:v>0.32044368922249122</c:v>
                </c:pt>
                <c:pt idx="277">
                  <c:v>0.30756290463160663</c:v>
                </c:pt>
                <c:pt idx="278">
                  <c:v>0.29648852613595267</c:v>
                </c:pt>
                <c:pt idx="279">
                  <c:v>0.28913716067328177</c:v>
                </c:pt>
                <c:pt idx="280">
                  <c:v>0.28569222434044045</c:v>
                </c:pt>
                <c:pt idx="281">
                  <c:v>0.23703072738863598</c:v>
                </c:pt>
                <c:pt idx="282">
                  <c:v>0.24422187812367782</c:v>
                </c:pt>
                <c:pt idx="283">
                  <c:v>0.23607057171261811</c:v>
                </c:pt>
                <c:pt idx="284">
                  <c:v>0.23286488400760766</c:v>
                </c:pt>
                <c:pt idx="285">
                  <c:v>0.30020957973894424</c:v>
                </c:pt>
                <c:pt idx="286">
                  <c:v>0.27026438798393854</c:v>
                </c:pt>
                <c:pt idx="287">
                  <c:v>0.2462260632114964</c:v>
                </c:pt>
                <c:pt idx="288">
                  <c:v>0.2372886968080368</c:v>
                </c:pt>
                <c:pt idx="289">
                  <c:v>0.22871083625605318</c:v>
                </c:pt>
                <c:pt idx="290">
                  <c:v>0.22162108463524047</c:v>
                </c:pt>
                <c:pt idx="291">
                  <c:v>0.29362096565839296</c:v>
                </c:pt>
                <c:pt idx="292">
                  <c:v>0.25721216787316942</c:v>
                </c:pt>
                <c:pt idx="293">
                  <c:v>0.22374377582606519</c:v>
                </c:pt>
                <c:pt idx="294">
                  <c:v>0.27407134929023297</c:v>
                </c:pt>
                <c:pt idx="295">
                  <c:v>0.28800367239776442</c:v>
                </c:pt>
                <c:pt idx="296">
                  <c:v>0.29192537222315573</c:v>
                </c:pt>
                <c:pt idx="297">
                  <c:v>0.29514269182677377</c:v>
                </c:pt>
                <c:pt idx="298">
                  <c:v>0.2974753849612769</c:v>
                </c:pt>
                <c:pt idx="299">
                  <c:v>0.29894118025635696</c:v>
                </c:pt>
                <c:pt idx="300">
                  <c:v>0.29970951649005723</c:v>
                </c:pt>
                <c:pt idx="301">
                  <c:v>0.29997600578463524</c:v>
                </c:pt>
                <c:pt idx="302">
                  <c:v>0.29766223421633203</c:v>
                </c:pt>
                <c:pt idx="303">
                  <c:v>0.29514481414649796</c:v>
                </c:pt>
                <c:pt idx="304">
                  <c:v>0.29305934636054115</c:v>
                </c:pt>
                <c:pt idx="305">
                  <c:v>0.29190410180879195</c:v>
                </c:pt>
                <c:pt idx="306">
                  <c:v>0.29094934583032056</c:v>
                </c:pt>
                <c:pt idx="307">
                  <c:v>0.28988977120484699</c:v>
                </c:pt>
                <c:pt idx="308">
                  <c:v>0.2892373769317399</c:v>
                </c:pt>
                <c:pt idx="309">
                  <c:v>0.26777806874876159</c:v>
                </c:pt>
                <c:pt idx="310">
                  <c:v>0.26827838741962612</c:v>
                </c:pt>
                <c:pt idx="311">
                  <c:v>0.24552599957060126</c:v>
                </c:pt>
                <c:pt idx="312">
                  <c:v>0.2734559832429902</c:v>
                </c:pt>
                <c:pt idx="313">
                  <c:v>0.23935474992464531</c:v>
                </c:pt>
                <c:pt idx="314">
                  <c:v>0.28486217915855949</c:v>
                </c:pt>
                <c:pt idx="315">
                  <c:v>0.28613640057745676</c:v>
                </c:pt>
                <c:pt idx="316">
                  <c:v>0.28662749597495585</c:v>
                </c:pt>
                <c:pt idx="317">
                  <c:v>0.26729403109927635</c:v>
                </c:pt>
                <c:pt idx="318">
                  <c:v>0.26413839301897379</c:v>
                </c:pt>
                <c:pt idx="319">
                  <c:v>0.2846600558708407</c:v>
                </c:pt>
                <c:pt idx="320">
                  <c:v>0.28591867033612578</c:v>
                </c:pt>
                <c:pt idx="321">
                  <c:v>0.27674250260201888</c:v>
                </c:pt>
                <c:pt idx="322">
                  <c:v>0.24354663838562862</c:v>
                </c:pt>
                <c:pt idx="323">
                  <c:v>0.24391990684307366</c:v>
                </c:pt>
                <c:pt idx="324">
                  <c:v>0.23829671786444398</c:v>
                </c:pt>
                <c:pt idx="325">
                  <c:v>0.25079473873284391</c:v>
                </c:pt>
                <c:pt idx="326">
                  <c:v>0.25393648859946494</c:v>
                </c:pt>
                <c:pt idx="327">
                  <c:v>0.25260814734355985</c:v>
                </c:pt>
                <c:pt idx="328">
                  <c:v>0.27262935473667954</c:v>
                </c:pt>
                <c:pt idx="329">
                  <c:v>0.27637533429354405</c:v>
                </c:pt>
                <c:pt idx="330">
                  <c:v>0.28173754527829814</c:v>
                </c:pt>
                <c:pt idx="331">
                  <c:v>0.28703732343041111</c:v>
                </c:pt>
                <c:pt idx="332">
                  <c:v>0.29156983074033727</c:v>
                </c:pt>
                <c:pt idx="333">
                  <c:v>0.29535068200261416</c:v>
                </c:pt>
                <c:pt idx="334">
                  <c:v>0.29856425172474554</c:v>
                </c:pt>
                <c:pt idx="335">
                  <c:v>0.30104199904620721</c:v>
                </c:pt>
                <c:pt idx="336">
                  <c:v>0.30268066033118496</c:v>
                </c:pt>
                <c:pt idx="337">
                  <c:v>0.29971773686037967</c:v>
                </c:pt>
                <c:pt idx="338">
                  <c:v>0.30313392686919277</c:v>
                </c:pt>
                <c:pt idx="339">
                  <c:v>0.29954356651120106</c:v>
                </c:pt>
                <c:pt idx="340">
                  <c:v>0.29570558478844761</c:v>
                </c:pt>
                <c:pt idx="341">
                  <c:v>0.28285828225890525</c:v>
                </c:pt>
                <c:pt idx="342">
                  <c:v>0.28032351306021014</c:v>
                </c:pt>
                <c:pt idx="343">
                  <c:v>0.27123865962116339</c:v>
                </c:pt>
                <c:pt idx="344">
                  <c:v>0.27020623655704673</c:v>
                </c:pt>
                <c:pt idx="345">
                  <c:v>0.29731424343745649</c:v>
                </c:pt>
                <c:pt idx="346">
                  <c:v>0.30252115920150746</c:v>
                </c:pt>
                <c:pt idx="347">
                  <c:v>0.30838854182818792</c:v>
                </c:pt>
                <c:pt idx="348">
                  <c:v>0.31335070436455292</c:v>
                </c:pt>
                <c:pt idx="349">
                  <c:v>0.31725247221451597</c:v>
                </c:pt>
                <c:pt idx="350">
                  <c:v>0.32014979893149642</c:v>
                </c:pt>
                <c:pt idx="351">
                  <c:v>0.32228294376174615</c:v>
                </c:pt>
                <c:pt idx="352">
                  <c:v>0.32394584835801277</c:v>
                </c:pt>
                <c:pt idx="353">
                  <c:v>0.32535100376655202</c:v>
                </c:pt>
                <c:pt idx="354">
                  <c:v>0.3265943639331384</c:v>
                </c:pt>
                <c:pt idx="355">
                  <c:v>0.3245401853015672</c:v>
                </c:pt>
                <c:pt idx="356">
                  <c:v>0.31764874876178623</c:v>
                </c:pt>
                <c:pt idx="357">
                  <c:v>0.32599420610084623</c:v>
                </c:pt>
                <c:pt idx="358">
                  <c:v>0.30276260261793558</c:v>
                </c:pt>
                <c:pt idx="359">
                  <c:v>0.27503039600379453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2E-43ED-BCB0-E0F625AE4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658031"/>
        <c:axId val="1214983840"/>
      </c:scatterChart>
      <c:valAx>
        <c:axId val="895658031"/>
        <c:scaling>
          <c:orientation val="minMax"/>
          <c:max val="44197"/>
          <c:min val="4383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983840"/>
        <c:crosses val="autoZero"/>
        <c:crossBetween val="midCat"/>
        <c:majorUnit val="31"/>
        <c:minorUnit val="7"/>
      </c:valAx>
      <c:valAx>
        <c:axId val="121498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65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LH Filter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Flow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'LH Paper Example replication'!$A$4:$A$130</c:f>
              <c:numCache>
                <c:formatCode>General</c:formatCode>
                <c:ptCount val="127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28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24</c:v>
                </c:pt>
                <c:pt idx="8">
                  <c:v>23</c:v>
                </c:pt>
                <c:pt idx="9">
                  <c:v>22</c:v>
                </c:pt>
                <c:pt idx="10">
                  <c:v>21</c:v>
                </c:pt>
                <c:pt idx="11">
                  <c:v>20</c:v>
                </c:pt>
                <c:pt idx="12">
                  <c:v>19</c:v>
                </c:pt>
                <c:pt idx="13">
                  <c:v>18</c:v>
                </c:pt>
                <c:pt idx="14">
                  <c:v>17</c:v>
                </c:pt>
                <c:pt idx="15">
                  <c:v>16</c:v>
                </c:pt>
                <c:pt idx="16">
                  <c:v>15</c:v>
                </c:pt>
                <c:pt idx="17">
                  <c:v>14</c:v>
                </c:pt>
                <c:pt idx="18">
                  <c:v>13</c:v>
                </c:pt>
                <c:pt idx="19">
                  <c:v>12</c:v>
                </c:pt>
                <c:pt idx="20">
                  <c:v>11</c:v>
                </c:pt>
                <c:pt idx="21">
                  <c:v>10</c:v>
                </c:pt>
                <c:pt idx="22">
                  <c:v>9</c:v>
                </c:pt>
                <c:pt idx="23">
                  <c:v>8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4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6</c:v>
                </c:pt>
                <c:pt idx="36">
                  <c:v>7</c:v>
                </c:pt>
                <c:pt idx="37">
                  <c:v>8</c:v>
                </c:pt>
                <c:pt idx="38">
                  <c:v>9</c:v>
                </c:pt>
                <c:pt idx="39">
                  <c:v>10</c:v>
                </c:pt>
                <c:pt idx="40">
                  <c:v>11</c:v>
                </c:pt>
                <c:pt idx="41">
                  <c:v>12</c:v>
                </c:pt>
                <c:pt idx="42">
                  <c:v>13</c:v>
                </c:pt>
                <c:pt idx="43">
                  <c:v>14</c:v>
                </c:pt>
                <c:pt idx="44">
                  <c:v>15</c:v>
                </c:pt>
                <c:pt idx="45">
                  <c:v>16</c:v>
                </c:pt>
                <c:pt idx="46">
                  <c:v>17</c:v>
                </c:pt>
                <c:pt idx="47">
                  <c:v>18</c:v>
                </c:pt>
                <c:pt idx="48">
                  <c:v>19</c:v>
                </c:pt>
                <c:pt idx="49">
                  <c:v>20</c:v>
                </c:pt>
                <c:pt idx="50">
                  <c:v>21</c:v>
                </c:pt>
                <c:pt idx="51">
                  <c:v>22</c:v>
                </c:pt>
                <c:pt idx="52">
                  <c:v>23</c:v>
                </c:pt>
                <c:pt idx="53">
                  <c:v>24</c:v>
                </c:pt>
                <c:pt idx="54">
                  <c:v>25</c:v>
                </c:pt>
                <c:pt idx="55">
                  <c:v>26</c:v>
                </c:pt>
                <c:pt idx="56">
                  <c:v>27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32</c:v>
                </c:pt>
                <c:pt idx="62">
                  <c:v>33</c:v>
                </c:pt>
                <c:pt idx="63">
                  <c:v>34</c:v>
                </c:pt>
                <c:pt idx="64">
                  <c:v>35</c:v>
                </c:pt>
                <c:pt idx="65">
                  <c:v>36</c:v>
                </c:pt>
                <c:pt idx="66">
                  <c:v>37</c:v>
                </c:pt>
                <c:pt idx="67">
                  <c:v>38</c:v>
                </c:pt>
                <c:pt idx="68">
                  <c:v>39</c:v>
                </c:pt>
                <c:pt idx="69">
                  <c:v>40</c:v>
                </c:pt>
                <c:pt idx="70">
                  <c:v>41</c:v>
                </c:pt>
                <c:pt idx="71">
                  <c:v>42</c:v>
                </c:pt>
                <c:pt idx="72">
                  <c:v>43</c:v>
                </c:pt>
                <c:pt idx="73">
                  <c:v>44</c:v>
                </c:pt>
                <c:pt idx="74">
                  <c:v>45</c:v>
                </c:pt>
                <c:pt idx="75">
                  <c:v>46</c:v>
                </c:pt>
                <c:pt idx="76">
                  <c:v>47</c:v>
                </c:pt>
                <c:pt idx="77">
                  <c:v>48</c:v>
                </c:pt>
                <c:pt idx="78">
                  <c:v>49</c:v>
                </c:pt>
                <c:pt idx="79">
                  <c:v>50</c:v>
                </c:pt>
                <c:pt idx="80">
                  <c:v>51</c:v>
                </c:pt>
                <c:pt idx="81">
                  <c:v>52</c:v>
                </c:pt>
                <c:pt idx="82">
                  <c:v>53</c:v>
                </c:pt>
                <c:pt idx="83">
                  <c:v>54</c:v>
                </c:pt>
                <c:pt idx="84">
                  <c:v>55</c:v>
                </c:pt>
                <c:pt idx="85">
                  <c:v>56</c:v>
                </c:pt>
                <c:pt idx="86">
                  <c:v>57</c:v>
                </c:pt>
                <c:pt idx="87">
                  <c:v>58</c:v>
                </c:pt>
                <c:pt idx="88">
                  <c:v>59</c:v>
                </c:pt>
                <c:pt idx="89">
                  <c:v>60</c:v>
                </c:pt>
                <c:pt idx="90">
                  <c:v>61</c:v>
                </c:pt>
                <c:pt idx="91">
                  <c:v>62</c:v>
                </c:pt>
                <c:pt idx="92">
                  <c:v>63</c:v>
                </c:pt>
                <c:pt idx="93">
                  <c:v>64</c:v>
                </c:pt>
                <c:pt idx="94">
                  <c:v>65</c:v>
                </c:pt>
                <c:pt idx="95">
                  <c:v>66</c:v>
                </c:pt>
                <c:pt idx="96">
                  <c:v>67</c:v>
                </c:pt>
                <c:pt idx="97">
                  <c:v>66</c:v>
                </c:pt>
                <c:pt idx="98">
                  <c:v>65</c:v>
                </c:pt>
                <c:pt idx="99">
                  <c:v>64</c:v>
                </c:pt>
                <c:pt idx="100">
                  <c:v>63</c:v>
                </c:pt>
                <c:pt idx="101">
                  <c:v>62</c:v>
                </c:pt>
                <c:pt idx="102">
                  <c:v>61</c:v>
                </c:pt>
                <c:pt idx="103">
                  <c:v>60</c:v>
                </c:pt>
                <c:pt idx="104">
                  <c:v>59</c:v>
                </c:pt>
                <c:pt idx="105">
                  <c:v>58</c:v>
                </c:pt>
                <c:pt idx="106">
                  <c:v>57</c:v>
                </c:pt>
                <c:pt idx="107">
                  <c:v>56</c:v>
                </c:pt>
                <c:pt idx="108">
                  <c:v>55</c:v>
                </c:pt>
                <c:pt idx="109">
                  <c:v>54</c:v>
                </c:pt>
                <c:pt idx="110">
                  <c:v>53</c:v>
                </c:pt>
                <c:pt idx="111">
                  <c:v>52</c:v>
                </c:pt>
                <c:pt idx="112">
                  <c:v>51</c:v>
                </c:pt>
                <c:pt idx="113">
                  <c:v>50</c:v>
                </c:pt>
                <c:pt idx="114">
                  <c:v>49</c:v>
                </c:pt>
                <c:pt idx="115">
                  <c:v>48</c:v>
                </c:pt>
                <c:pt idx="116">
                  <c:v>47</c:v>
                </c:pt>
                <c:pt idx="117">
                  <c:v>46</c:v>
                </c:pt>
                <c:pt idx="118">
                  <c:v>45</c:v>
                </c:pt>
                <c:pt idx="119">
                  <c:v>44</c:v>
                </c:pt>
                <c:pt idx="120">
                  <c:v>43</c:v>
                </c:pt>
                <c:pt idx="121">
                  <c:v>42</c:v>
                </c:pt>
                <c:pt idx="122">
                  <c:v>41</c:v>
                </c:pt>
                <c:pt idx="123">
                  <c:v>40</c:v>
                </c:pt>
                <c:pt idx="124">
                  <c:v>39</c:v>
                </c:pt>
                <c:pt idx="125">
                  <c:v>38</c:v>
                </c:pt>
                <c:pt idx="126">
                  <c:v>37</c:v>
                </c:pt>
              </c:numCache>
            </c:numRef>
          </c:cat>
          <c:val>
            <c:numRef>
              <c:f>'LH Paper Example replication'!$B$4:$B$130</c:f>
              <c:numCache>
                <c:formatCode>General</c:formatCode>
                <c:ptCount val="127"/>
                <c:pt idx="0">
                  <c:v>96</c:v>
                </c:pt>
                <c:pt idx="1">
                  <c:v>158</c:v>
                </c:pt>
                <c:pt idx="2">
                  <c:v>382</c:v>
                </c:pt>
                <c:pt idx="3">
                  <c:v>934</c:v>
                </c:pt>
                <c:pt idx="4">
                  <c:v>119</c:v>
                </c:pt>
                <c:pt idx="5">
                  <c:v>141</c:v>
                </c:pt>
                <c:pt idx="6">
                  <c:v>256</c:v>
                </c:pt>
                <c:pt idx="7">
                  <c:v>245</c:v>
                </c:pt>
                <c:pt idx="8">
                  <c:v>260</c:v>
                </c:pt>
                <c:pt idx="9">
                  <c:v>275</c:v>
                </c:pt>
                <c:pt idx="10">
                  <c:v>310</c:v>
                </c:pt>
                <c:pt idx="11">
                  <c:v>393</c:v>
                </c:pt>
                <c:pt idx="12">
                  <c:v>342</c:v>
                </c:pt>
                <c:pt idx="13">
                  <c:v>82</c:v>
                </c:pt>
                <c:pt idx="14">
                  <c:v>73</c:v>
                </c:pt>
                <c:pt idx="15">
                  <c:v>35</c:v>
                </c:pt>
                <c:pt idx="16">
                  <c:v>40</c:v>
                </c:pt>
                <c:pt idx="17">
                  <c:v>48</c:v>
                </c:pt>
                <c:pt idx="18">
                  <c:v>62</c:v>
                </c:pt>
                <c:pt idx="19">
                  <c:v>89</c:v>
                </c:pt>
                <c:pt idx="20">
                  <c:v>144</c:v>
                </c:pt>
                <c:pt idx="21">
                  <c:v>308</c:v>
                </c:pt>
                <c:pt idx="22">
                  <c:v>1169</c:v>
                </c:pt>
                <c:pt idx="23">
                  <c:v>95</c:v>
                </c:pt>
                <c:pt idx="24">
                  <c:v>26</c:v>
                </c:pt>
                <c:pt idx="25">
                  <c:v>36</c:v>
                </c:pt>
                <c:pt idx="26">
                  <c:v>57</c:v>
                </c:pt>
                <c:pt idx="27">
                  <c:v>117</c:v>
                </c:pt>
                <c:pt idx="28">
                  <c:v>108</c:v>
                </c:pt>
                <c:pt idx="29">
                  <c:v>7</c:v>
                </c:pt>
                <c:pt idx="30">
                  <c:v>5</c:v>
                </c:pt>
                <c:pt idx="31">
                  <c:v>7</c:v>
                </c:pt>
                <c:pt idx="32">
                  <c:v>108</c:v>
                </c:pt>
                <c:pt idx="33">
                  <c:v>117</c:v>
                </c:pt>
                <c:pt idx="34">
                  <c:v>57</c:v>
                </c:pt>
                <c:pt idx="35">
                  <c:v>36</c:v>
                </c:pt>
                <c:pt idx="36">
                  <c:v>26</c:v>
                </c:pt>
                <c:pt idx="37">
                  <c:v>95</c:v>
                </c:pt>
                <c:pt idx="38">
                  <c:v>1169</c:v>
                </c:pt>
                <c:pt idx="39">
                  <c:v>308</c:v>
                </c:pt>
                <c:pt idx="40">
                  <c:v>144</c:v>
                </c:pt>
                <c:pt idx="41">
                  <c:v>89</c:v>
                </c:pt>
                <c:pt idx="42">
                  <c:v>62</c:v>
                </c:pt>
                <c:pt idx="43">
                  <c:v>48</c:v>
                </c:pt>
                <c:pt idx="44">
                  <c:v>40</c:v>
                </c:pt>
                <c:pt idx="45">
                  <c:v>35</c:v>
                </c:pt>
                <c:pt idx="46">
                  <c:v>73</c:v>
                </c:pt>
                <c:pt idx="47">
                  <c:v>82</c:v>
                </c:pt>
                <c:pt idx="48">
                  <c:v>342</c:v>
                </c:pt>
                <c:pt idx="49">
                  <c:v>393</c:v>
                </c:pt>
                <c:pt idx="50">
                  <c:v>310</c:v>
                </c:pt>
                <c:pt idx="51">
                  <c:v>275</c:v>
                </c:pt>
                <c:pt idx="52">
                  <c:v>260</c:v>
                </c:pt>
                <c:pt idx="53">
                  <c:v>245</c:v>
                </c:pt>
                <c:pt idx="54">
                  <c:v>256</c:v>
                </c:pt>
                <c:pt idx="55">
                  <c:v>141</c:v>
                </c:pt>
                <c:pt idx="56">
                  <c:v>119</c:v>
                </c:pt>
                <c:pt idx="57">
                  <c:v>934</c:v>
                </c:pt>
                <c:pt idx="58">
                  <c:v>382</c:v>
                </c:pt>
                <c:pt idx="59">
                  <c:v>158</c:v>
                </c:pt>
                <c:pt idx="60">
                  <c:v>96</c:v>
                </c:pt>
                <c:pt idx="61">
                  <c:v>122</c:v>
                </c:pt>
                <c:pt idx="62">
                  <c:v>103</c:v>
                </c:pt>
                <c:pt idx="63">
                  <c:v>83</c:v>
                </c:pt>
                <c:pt idx="64">
                  <c:v>67</c:v>
                </c:pt>
                <c:pt idx="65">
                  <c:v>148</c:v>
                </c:pt>
                <c:pt idx="66">
                  <c:v>366</c:v>
                </c:pt>
                <c:pt idx="67">
                  <c:v>161</c:v>
                </c:pt>
                <c:pt idx="68">
                  <c:v>119</c:v>
                </c:pt>
                <c:pt idx="69">
                  <c:v>82</c:v>
                </c:pt>
                <c:pt idx="70">
                  <c:v>330</c:v>
                </c:pt>
                <c:pt idx="71">
                  <c:v>294</c:v>
                </c:pt>
                <c:pt idx="72">
                  <c:v>261</c:v>
                </c:pt>
                <c:pt idx="73">
                  <c:v>266</c:v>
                </c:pt>
                <c:pt idx="74">
                  <c:v>153</c:v>
                </c:pt>
                <c:pt idx="75">
                  <c:v>247</c:v>
                </c:pt>
                <c:pt idx="76">
                  <c:v>703</c:v>
                </c:pt>
                <c:pt idx="77">
                  <c:v>498</c:v>
                </c:pt>
                <c:pt idx="78">
                  <c:v>286</c:v>
                </c:pt>
                <c:pt idx="79">
                  <c:v>163</c:v>
                </c:pt>
                <c:pt idx="80">
                  <c:v>124</c:v>
                </c:pt>
                <c:pt idx="81">
                  <c:v>85</c:v>
                </c:pt>
                <c:pt idx="82">
                  <c:v>94</c:v>
                </c:pt>
                <c:pt idx="83">
                  <c:v>81</c:v>
                </c:pt>
                <c:pt idx="84">
                  <c:v>62</c:v>
                </c:pt>
                <c:pt idx="85">
                  <c:v>47</c:v>
                </c:pt>
                <c:pt idx="86">
                  <c:v>37</c:v>
                </c:pt>
                <c:pt idx="87">
                  <c:v>30</c:v>
                </c:pt>
                <c:pt idx="88">
                  <c:v>26</c:v>
                </c:pt>
                <c:pt idx="89">
                  <c:v>24</c:v>
                </c:pt>
                <c:pt idx="90">
                  <c:v>24</c:v>
                </c:pt>
                <c:pt idx="91">
                  <c:v>22</c:v>
                </c:pt>
                <c:pt idx="92">
                  <c:v>21</c:v>
                </c:pt>
                <c:pt idx="93">
                  <c:v>20</c:v>
                </c:pt>
                <c:pt idx="94">
                  <c:v>19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19</c:v>
                </c:pt>
                <c:pt idx="99">
                  <c:v>20</c:v>
                </c:pt>
                <c:pt idx="100">
                  <c:v>21</c:v>
                </c:pt>
                <c:pt idx="101">
                  <c:v>22</c:v>
                </c:pt>
                <c:pt idx="102">
                  <c:v>24</c:v>
                </c:pt>
                <c:pt idx="103">
                  <c:v>24</c:v>
                </c:pt>
                <c:pt idx="104">
                  <c:v>26</c:v>
                </c:pt>
                <c:pt idx="105">
                  <c:v>30</c:v>
                </c:pt>
                <c:pt idx="106">
                  <c:v>37</c:v>
                </c:pt>
                <c:pt idx="107">
                  <c:v>47</c:v>
                </c:pt>
                <c:pt idx="108">
                  <c:v>62</c:v>
                </c:pt>
                <c:pt idx="109">
                  <c:v>81</c:v>
                </c:pt>
                <c:pt idx="110">
                  <c:v>94</c:v>
                </c:pt>
                <c:pt idx="111">
                  <c:v>85</c:v>
                </c:pt>
                <c:pt idx="112">
                  <c:v>124</c:v>
                </c:pt>
                <c:pt idx="113">
                  <c:v>163</c:v>
                </c:pt>
                <c:pt idx="114">
                  <c:v>286</c:v>
                </c:pt>
                <c:pt idx="115">
                  <c:v>498</c:v>
                </c:pt>
                <c:pt idx="116">
                  <c:v>703</c:v>
                </c:pt>
                <c:pt idx="117">
                  <c:v>247</c:v>
                </c:pt>
                <c:pt idx="118">
                  <c:v>153</c:v>
                </c:pt>
                <c:pt idx="119">
                  <c:v>266</c:v>
                </c:pt>
                <c:pt idx="120">
                  <c:v>261</c:v>
                </c:pt>
                <c:pt idx="121">
                  <c:v>294</c:v>
                </c:pt>
                <c:pt idx="122">
                  <c:v>330</c:v>
                </c:pt>
                <c:pt idx="123">
                  <c:v>82</c:v>
                </c:pt>
                <c:pt idx="124">
                  <c:v>119</c:v>
                </c:pt>
                <c:pt idx="125">
                  <c:v>161</c:v>
                </c:pt>
                <c:pt idx="126">
                  <c:v>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F1-4FA4-9DB6-9368C5AD2A6E}"/>
            </c:ext>
          </c:extLst>
        </c:ser>
        <c:ser>
          <c:idx val="1"/>
          <c:order val="1"/>
          <c:tx>
            <c:v>LH Per Tony Ladson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'LH Paper Example replication'!$A$4:$A$130</c:f>
              <c:numCache>
                <c:formatCode>General</c:formatCode>
                <c:ptCount val="127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28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24</c:v>
                </c:pt>
                <c:pt idx="8">
                  <c:v>23</c:v>
                </c:pt>
                <c:pt idx="9">
                  <c:v>22</c:v>
                </c:pt>
                <c:pt idx="10">
                  <c:v>21</c:v>
                </c:pt>
                <c:pt idx="11">
                  <c:v>20</c:v>
                </c:pt>
                <c:pt idx="12">
                  <c:v>19</c:v>
                </c:pt>
                <c:pt idx="13">
                  <c:v>18</c:v>
                </c:pt>
                <c:pt idx="14">
                  <c:v>17</c:v>
                </c:pt>
                <c:pt idx="15">
                  <c:v>16</c:v>
                </c:pt>
                <c:pt idx="16">
                  <c:v>15</c:v>
                </c:pt>
                <c:pt idx="17">
                  <c:v>14</c:v>
                </c:pt>
                <c:pt idx="18">
                  <c:v>13</c:v>
                </c:pt>
                <c:pt idx="19">
                  <c:v>12</c:v>
                </c:pt>
                <c:pt idx="20">
                  <c:v>11</c:v>
                </c:pt>
                <c:pt idx="21">
                  <c:v>10</c:v>
                </c:pt>
                <c:pt idx="22">
                  <c:v>9</c:v>
                </c:pt>
                <c:pt idx="23">
                  <c:v>8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4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6</c:v>
                </c:pt>
                <c:pt idx="36">
                  <c:v>7</c:v>
                </c:pt>
                <c:pt idx="37">
                  <c:v>8</c:v>
                </c:pt>
                <c:pt idx="38">
                  <c:v>9</c:v>
                </c:pt>
                <c:pt idx="39">
                  <c:v>10</c:v>
                </c:pt>
                <c:pt idx="40">
                  <c:v>11</c:v>
                </c:pt>
                <c:pt idx="41">
                  <c:v>12</c:v>
                </c:pt>
                <c:pt idx="42">
                  <c:v>13</c:v>
                </c:pt>
                <c:pt idx="43">
                  <c:v>14</c:v>
                </c:pt>
                <c:pt idx="44">
                  <c:v>15</c:v>
                </c:pt>
                <c:pt idx="45">
                  <c:v>16</c:v>
                </c:pt>
                <c:pt idx="46">
                  <c:v>17</c:v>
                </c:pt>
                <c:pt idx="47">
                  <c:v>18</c:v>
                </c:pt>
                <c:pt idx="48">
                  <c:v>19</c:v>
                </c:pt>
                <c:pt idx="49">
                  <c:v>20</c:v>
                </c:pt>
                <c:pt idx="50">
                  <c:v>21</c:v>
                </c:pt>
                <c:pt idx="51">
                  <c:v>22</c:v>
                </c:pt>
                <c:pt idx="52">
                  <c:v>23</c:v>
                </c:pt>
                <c:pt idx="53">
                  <c:v>24</c:v>
                </c:pt>
                <c:pt idx="54">
                  <c:v>25</c:v>
                </c:pt>
                <c:pt idx="55">
                  <c:v>26</c:v>
                </c:pt>
                <c:pt idx="56">
                  <c:v>27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32</c:v>
                </c:pt>
                <c:pt idx="62">
                  <c:v>33</c:v>
                </c:pt>
                <c:pt idx="63">
                  <c:v>34</c:v>
                </c:pt>
                <c:pt idx="64">
                  <c:v>35</c:v>
                </c:pt>
                <c:pt idx="65">
                  <c:v>36</c:v>
                </c:pt>
                <c:pt idx="66">
                  <c:v>37</c:v>
                </c:pt>
                <c:pt idx="67">
                  <c:v>38</c:v>
                </c:pt>
                <c:pt idx="68">
                  <c:v>39</c:v>
                </c:pt>
                <c:pt idx="69">
                  <c:v>40</c:v>
                </c:pt>
                <c:pt idx="70">
                  <c:v>41</c:v>
                </c:pt>
                <c:pt idx="71">
                  <c:v>42</c:v>
                </c:pt>
                <c:pt idx="72">
                  <c:v>43</c:v>
                </c:pt>
                <c:pt idx="73">
                  <c:v>44</c:v>
                </c:pt>
                <c:pt idx="74">
                  <c:v>45</c:v>
                </c:pt>
                <c:pt idx="75">
                  <c:v>46</c:v>
                </c:pt>
                <c:pt idx="76">
                  <c:v>47</c:v>
                </c:pt>
                <c:pt idx="77">
                  <c:v>48</c:v>
                </c:pt>
                <c:pt idx="78">
                  <c:v>49</c:v>
                </c:pt>
                <c:pt idx="79">
                  <c:v>50</c:v>
                </c:pt>
                <c:pt idx="80">
                  <c:v>51</c:v>
                </c:pt>
                <c:pt idx="81">
                  <c:v>52</c:v>
                </c:pt>
                <c:pt idx="82">
                  <c:v>53</c:v>
                </c:pt>
                <c:pt idx="83">
                  <c:v>54</c:v>
                </c:pt>
                <c:pt idx="84">
                  <c:v>55</c:v>
                </c:pt>
                <c:pt idx="85">
                  <c:v>56</c:v>
                </c:pt>
                <c:pt idx="86">
                  <c:v>57</c:v>
                </c:pt>
                <c:pt idx="87">
                  <c:v>58</c:v>
                </c:pt>
                <c:pt idx="88">
                  <c:v>59</c:v>
                </c:pt>
                <c:pt idx="89">
                  <c:v>60</c:v>
                </c:pt>
                <c:pt idx="90">
                  <c:v>61</c:v>
                </c:pt>
                <c:pt idx="91">
                  <c:v>62</c:v>
                </c:pt>
                <c:pt idx="92">
                  <c:v>63</c:v>
                </c:pt>
                <c:pt idx="93">
                  <c:v>64</c:v>
                </c:pt>
                <c:pt idx="94">
                  <c:v>65</c:v>
                </c:pt>
                <c:pt idx="95">
                  <c:v>66</c:v>
                </c:pt>
                <c:pt idx="96">
                  <c:v>67</c:v>
                </c:pt>
                <c:pt idx="97">
                  <c:v>66</c:v>
                </c:pt>
                <c:pt idx="98">
                  <c:v>65</c:v>
                </c:pt>
                <c:pt idx="99">
                  <c:v>64</c:v>
                </c:pt>
                <c:pt idx="100">
                  <c:v>63</c:v>
                </c:pt>
                <c:pt idx="101">
                  <c:v>62</c:v>
                </c:pt>
                <c:pt idx="102">
                  <c:v>61</c:v>
                </c:pt>
                <c:pt idx="103">
                  <c:v>60</c:v>
                </c:pt>
                <c:pt idx="104">
                  <c:v>59</c:v>
                </c:pt>
                <c:pt idx="105">
                  <c:v>58</c:v>
                </c:pt>
                <c:pt idx="106">
                  <c:v>57</c:v>
                </c:pt>
                <c:pt idx="107">
                  <c:v>56</c:v>
                </c:pt>
                <c:pt idx="108">
                  <c:v>55</c:v>
                </c:pt>
                <c:pt idx="109">
                  <c:v>54</c:v>
                </c:pt>
                <c:pt idx="110">
                  <c:v>53</c:v>
                </c:pt>
                <c:pt idx="111">
                  <c:v>52</c:v>
                </c:pt>
                <c:pt idx="112">
                  <c:v>51</c:v>
                </c:pt>
                <c:pt idx="113">
                  <c:v>50</c:v>
                </c:pt>
                <c:pt idx="114">
                  <c:v>49</c:v>
                </c:pt>
                <c:pt idx="115">
                  <c:v>48</c:v>
                </c:pt>
                <c:pt idx="116">
                  <c:v>47</c:v>
                </c:pt>
                <c:pt idx="117">
                  <c:v>46</c:v>
                </c:pt>
                <c:pt idx="118">
                  <c:v>45</c:v>
                </c:pt>
                <c:pt idx="119">
                  <c:v>44</c:v>
                </c:pt>
                <c:pt idx="120">
                  <c:v>43</c:v>
                </c:pt>
                <c:pt idx="121">
                  <c:v>42</c:v>
                </c:pt>
                <c:pt idx="122">
                  <c:v>41</c:v>
                </c:pt>
                <c:pt idx="123">
                  <c:v>40</c:v>
                </c:pt>
                <c:pt idx="124">
                  <c:v>39</c:v>
                </c:pt>
                <c:pt idx="125">
                  <c:v>38</c:v>
                </c:pt>
                <c:pt idx="126">
                  <c:v>37</c:v>
                </c:pt>
              </c:numCache>
            </c:numRef>
          </c:cat>
          <c:val>
            <c:numRef>
              <c:f>'LH Paper Example replication'!$H$4:$H$130</c:f>
              <c:numCache>
                <c:formatCode>0.0</c:formatCode>
                <c:ptCount val="127"/>
                <c:pt idx="0">
                  <c:v>0</c:v>
                </c:pt>
                <c:pt idx="1">
                  <c:v>2.5399999999999867E-2</c:v>
                </c:pt>
                <c:pt idx="2">
                  <c:v>0.12918400000000041</c:v>
                </c:pt>
                <c:pt idx="3">
                  <c:v>0.41440648000000024</c:v>
                </c:pt>
                <c:pt idx="4">
                  <c:v>0.92506838719999962</c:v>
                </c:pt>
                <c:pt idx="5">
                  <c:v>1.5464380555199995</c:v>
                </c:pt>
                <c:pt idx="6">
                  <c:v>2.2082829097523202</c:v>
                </c:pt>
                <c:pt idx="7">
                  <c:v>2.9328353945931411</c:v>
                </c:pt>
                <c:pt idx="8">
                  <c:v>3.7281224668764281</c:v>
                </c:pt>
                <c:pt idx="9">
                  <c:v>4.594424922110548</c:v>
                </c:pt>
                <c:pt idx="10">
                  <c:v>5.5365840301485534</c:v>
                </c:pt>
                <c:pt idx="11">
                  <c:v>6.5680190038961896</c:v>
                </c:pt>
                <c:pt idx="12">
                  <c:v>7.6997819450818668</c:v>
                </c:pt>
                <c:pt idx="13">
                  <c:v>8.8995471610185533</c:v>
                </c:pt>
                <c:pt idx="14">
                  <c:v>10.10614185553974</c:v>
                </c:pt>
                <c:pt idx="15">
                  <c:v>10.94714726337174</c:v>
                </c:pt>
                <c:pt idx="16">
                  <c:v>11.478204318104307</c:v>
                </c:pt>
                <c:pt idx="17">
                  <c:v>12.128640231742224</c:v>
                </c:pt>
                <c:pt idx="18">
                  <c:v>12.986067427107379</c:v>
                </c:pt>
                <c:pt idx="19">
                  <c:v>14.024231150146505</c:v>
                </c:pt>
                <c:pt idx="20">
                  <c:v>15.109258968874499</c:v>
                </c:pt>
                <c:pt idx="21">
                  <c:v>16.213775982393315</c:v>
                </c:pt>
                <c:pt idx="22">
                  <c:v>17.349200390228546</c:v>
                </c:pt>
                <c:pt idx="23">
                  <c:v>18.480189621317074</c:v>
                </c:pt>
                <c:pt idx="24">
                  <c:v>19.107933963047387</c:v>
                </c:pt>
                <c:pt idx="25">
                  <c:v>19.345775283786438</c:v>
                </c:pt>
                <c:pt idx="26">
                  <c:v>19.888859778110714</c:v>
                </c:pt>
                <c:pt idx="27">
                  <c:v>20.81578522123371</c:v>
                </c:pt>
                <c:pt idx="28">
                  <c:v>21.905238503328547</c:v>
                </c:pt>
                <c:pt idx="29">
                  <c:v>7</c:v>
                </c:pt>
                <c:pt idx="30">
                  <c:v>5</c:v>
                </c:pt>
                <c:pt idx="31">
                  <c:v>7</c:v>
                </c:pt>
                <c:pt idx="32">
                  <c:v>22.071421354296035</c:v>
                </c:pt>
                <c:pt idx="33">
                  <c:v>23.210184638794722</c:v>
                </c:pt>
                <c:pt idx="34">
                  <c:v>24.105074914034574</c:v>
                </c:pt>
                <c:pt idx="35">
                  <c:v>24.552973415753883</c:v>
                </c:pt>
                <c:pt idx="36">
                  <c:v>24.681913947438808</c:v>
                </c:pt>
                <c:pt idx="37">
                  <c:v>25.260111713193993</c:v>
                </c:pt>
                <c:pt idx="38">
                  <c:v>26.376364601372003</c:v>
                </c:pt>
                <c:pt idx="39">
                  <c:v>27.463392015845294</c:v>
                </c:pt>
                <c:pt idx="40">
                  <c:v>28.51767216188653</c:v>
                </c:pt>
                <c:pt idx="41">
                  <c:v>29.540266708116846</c:v>
                </c:pt>
                <c:pt idx="42">
                  <c:v>30.363797005827212</c:v>
                </c:pt>
                <c:pt idx="43">
                  <c:v>30.85652106571067</c:v>
                </c:pt>
                <c:pt idx="44">
                  <c:v>31.119390644396454</c:v>
                </c:pt>
                <c:pt idx="45">
                  <c:v>31.247002831508528</c:v>
                </c:pt>
                <c:pt idx="46">
                  <c:v>31.702062774878357</c:v>
                </c:pt>
                <c:pt idx="47">
                  <c:v>32.61802151938079</c:v>
                </c:pt>
                <c:pt idx="48">
                  <c:v>33.605931961848782</c:v>
                </c:pt>
                <c:pt idx="49">
                  <c:v>34.568425145417223</c:v>
                </c:pt>
                <c:pt idx="50">
                  <c:v>35.498673656625122</c:v>
                </c:pt>
                <c:pt idx="51">
                  <c:v>36.395202640762193</c:v>
                </c:pt>
                <c:pt idx="52">
                  <c:v>37.256885060801395</c:v>
                </c:pt>
                <c:pt idx="53">
                  <c:v>38.082862577197275</c:v>
                </c:pt>
                <c:pt idx="54">
                  <c:v>38.872402804438046</c:v>
                </c:pt>
                <c:pt idx="55">
                  <c:v>39.624924772992031</c:v>
                </c:pt>
                <c:pt idx="56">
                  <c:v>40.341450305870808</c:v>
                </c:pt>
                <c:pt idx="57">
                  <c:v>41.022573645151127</c:v>
                </c:pt>
                <c:pt idx="58">
                  <c:v>41.664659052963913</c:v>
                </c:pt>
                <c:pt idx="59">
                  <c:v>42.263554176606377</c:v>
                </c:pt>
                <c:pt idx="60">
                  <c:v>42.823654901179381</c:v>
                </c:pt>
                <c:pt idx="61">
                  <c:v>43.353695557253872</c:v>
                </c:pt>
                <c:pt idx="62">
                  <c:v>43.856227517637436</c:v>
                </c:pt>
                <c:pt idx="63">
                  <c:v>44.3347212035384</c:v>
                </c:pt>
                <c:pt idx="64">
                  <c:v>44.79328851494931</c:v>
                </c:pt>
                <c:pt idx="65">
                  <c:v>45.233135932848668</c:v>
                </c:pt>
                <c:pt idx="66">
                  <c:v>45.643387278226299</c:v>
                </c:pt>
                <c:pt idx="67">
                  <c:v>46.01161170702354</c:v>
                </c:pt>
                <c:pt idx="68">
                  <c:v>46.34051840893946</c:v>
                </c:pt>
                <c:pt idx="69">
                  <c:v>46.640290002302642</c:v>
                </c:pt>
                <c:pt idx="70">
                  <c:v>46.914833984903368</c:v>
                </c:pt>
                <c:pt idx="71">
                  <c:v>47.153669797545447</c:v>
                </c:pt>
                <c:pt idx="72">
                  <c:v>47.348965357147243</c:v>
                </c:pt>
                <c:pt idx="73">
                  <c:v>47.499748966302448</c:v>
                </c:pt>
                <c:pt idx="74">
                  <c:v>47.605967436935096</c:v>
                </c:pt>
                <c:pt idx="75">
                  <c:v>47.667833610995288</c:v>
                </c:pt>
                <c:pt idx="76">
                  <c:v>47.302435627801543</c:v>
                </c:pt>
                <c:pt idx="77">
                  <c:v>44.776381847256403</c:v>
                </c:pt>
                <c:pt idx="78">
                  <c:v>42.066053120526476</c:v>
                </c:pt>
                <c:pt idx="79">
                  <c:v>39.427112134242819</c:v>
                </c:pt>
                <c:pt idx="80">
                  <c:v>37.303175647186549</c:v>
                </c:pt>
                <c:pt idx="81">
                  <c:v>35.931811884884226</c:v>
                </c:pt>
                <c:pt idx="82">
                  <c:v>34.838583556004316</c:v>
                </c:pt>
                <c:pt idx="83">
                  <c:v>33.763860771432974</c:v>
                </c:pt>
                <c:pt idx="84">
                  <c:v>32.993735481054053</c:v>
                </c:pt>
                <c:pt idx="85">
                  <c:v>32.554832123524541</c:v>
                </c:pt>
                <c:pt idx="86">
                  <c:v>32.362073595433209</c:v>
                </c:pt>
                <c:pt idx="87">
                  <c:v>30</c:v>
                </c:pt>
                <c:pt idx="88">
                  <c:v>26</c:v>
                </c:pt>
                <c:pt idx="89">
                  <c:v>24</c:v>
                </c:pt>
                <c:pt idx="90">
                  <c:v>24</c:v>
                </c:pt>
                <c:pt idx="91">
                  <c:v>22</c:v>
                </c:pt>
                <c:pt idx="92">
                  <c:v>21</c:v>
                </c:pt>
                <c:pt idx="93">
                  <c:v>20</c:v>
                </c:pt>
                <c:pt idx="94">
                  <c:v>19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19</c:v>
                </c:pt>
                <c:pt idx="99">
                  <c:v>20</c:v>
                </c:pt>
                <c:pt idx="100">
                  <c:v>21</c:v>
                </c:pt>
                <c:pt idx="101">
                  <c:v>22</c:v>
                </c:pt>
                <c:pt idx="102">
                  <c:v>24</c:v>
                </c:pt>
                <c:pt idx="103">
                  <c:v>24</c:v>
                </c:pt>
                <c:pt idx="104">
                  <c:v>26</c:v>
                </c:pt>
                <c:pt idx="105">
                  <c:v>30</c:v>
                </c:pt>
                <c:pt idx="106">
                  <c:v>36.935271250409286</c:v>
                </c:pt>
                <c:pt idx="107">
                  <c:v>36.831909439193147</c:v>
                </c:pt>
                <c:pt idx="108">
                  <c:v>36.471336162441986</c:v>
                </c:pt>
                <c:pt idx="109">
                  <c:v>35.756465471879579</c:v>
                </c:pt>
                <c:pt idx="110">
                  <c:v>34.700474971305695</c:v>
                </c:pt>
                <c:pt idx="111">
                  <c:v>33.582117317658877</c:v>
                </c:pt>
                <c:pt idx="112">
                  <c:v>32.229557243759587</c:v>
                </c:pt>
                <c:pt idx="113">
                  <c:v>30.540303908761345</c:v>
                </c:pt>
                <c:pt idx="114">
                  <c:v>28.788413963113612</c:v>
                </c:pt>
                <c:pt idx="115">
                  <c:v>26.922458063981438</c:v>
                </c:pt>
                <c:pt idx="116">
                  <c:v>24.864939902834564</c:v>
                </c:pt>
                <c:pt idx="117">
                  <c:v>22.598080900831704</c:v>
                </c:pt>
                <c:pt idx="118">
                  <c:v>20.202690503278163</c:v>
                </c:pt>
                <c:pt idx="119">
                  <c:v>17.73197467327698</c:v>
                </c:pt>
                <c:pt idx="120">
                  <c:v>15.171965771713872</c:v>
                </c:pt>
                <c:pt idx="121">
                  <c:v>12.507741345975944</c:v>
                </c:pt>
                <c:pt idx="122">
                  <c:v>9.7283159983384166</c:v>
                </c:pt>
                <c:pt idx="123">
                  <c:v>7.5559440540393155</c:v>
                </c:pt>
                <c:pt idx="124">
                  <c:v>5.6591265857543931</c:v>
                </c:pt>
                <c:pt idx="125">
                  <c:v>3.0273332335034979</c:v>
                </c:pt>
                <c:pt idx="1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F1-4FA4-9DB6-9368C5AD2A6E}"/>
            </c:ext>
          </c:extLst>
        </c:ser>
        <c:ser>
          <c:idx val="2"/>
          <c:order val="2"/>
          <c:tx>
            <c:v>LH per paaper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'LH Paper Example replication'!$R$4:$R$130</c:f>
              <c:numCache>
                <c:formatCode>0.0</c:formatCode>
                <c:ptCount val="127"/>
                <c:pt idx="0">
                  <c:v>0</c:v>
                </c:pt>
                <c:pt idx="1">
                  <c:v>2.5399999999999867E-2</c:v>
                </c:pt>
                <c:pt idx="2">
                  <c:v>0.12918400000000041</c:v>
                </c:pt>
                <c:pt idx="3">
                  <c:v>0.40757981823458778</c:v>
                </c:pt>
                <c:pt idx="4">
                  <c:v>0.80243204445813987</c:v>
                </c:pt>
                <c:pt idx="5">
                  <c:v>1.1857870891399998</c:v>
                </c:pt>
                <c:pt idx="6">
                  <c:v>1.5560277137418481</c:v>
                </c:pt>
                <c:pt idx="7">
                  <c:v>1.9119902704882996</c:v>
                </c:pt>
                <c:pt idx="8">
                  <c:v>2.2521754567001473</c:v>
                </c:pt>
                <c:pt idx="9">
                  <c:v>2.5749655238662896</c:v>
                </c:pt>
                <c:pt idx="10">
                  <c:v>2.8786544288885842</c:v>
                </c:pt>
                <c:pt idx="11">
                  <c:v>3.1613120269345991</c:v>
                </c:pt>
                <c:pt idx="12">
                  <c:v>3.4207161811588094</c:v>
                </c:pt>
                <c:pt idx="13">
                  <c:v>3.654813646313066</c:v>
                </c:pt>
                <c:pt idx="14">
                  <c:v>3.8624605609905114</c:v>
                </c:pt>
                <c:pt idx="15">
                  <c:v>4.0469113995430117</c:v>
                </c:pt>
                <c:pt idx="16">
                  <c:v>4.2152219137183593</c:v>
                </c:pt>
                <c:pt idx="17">
                  <c:v>4.3709336409197137</c:v>
                </c:pt>
                <c:pt idx="18">
                  <c:v>4.5140281553214425</c:v>
                </c:pt>
                <c:pt idx="19">
                  <c:v>4.6443835208477928</c:v>
                </c:pt>
                <c:pt idx="20">
                  <c:v>4.7616864126920406</c:v>
                </c:pt>
                <c:pt idx="21">
                  <c:v>4.8651928560675257</c:v>
                </c:pt>
                <c:pt idx="22">
                  <c:v>4.9525925514422475</c:v>
                </c:pt>
                <c:pt idx="23">
                  <c:v>5.0195177168588732</c:v>
                </c:pt>
                <c:pt idx="24">
                  <c:v>5.066430094258549</c:v>
                </c:pt>
                <c:pt idx="25">
                  <c:v>5.1005794823708266</c:v>
                </c:pt>
                <c:pt idx="26">
                  <c:v>5.1261262498636633</c:v>
                </c:pt>
                <c:pt idx="27">
                  <c:v>5.1428639015401183</c:v>
                </c:pt>
                <c:pt idx="28">
                  <c:v>5.150337705502916</c:v>
                </c:pt>
                <c:pt idx="29">
                  <c:v>5.0199999999999996</c:v>
                </c:pt>
                <c:pt idx="30">
                  <c:v>5</c:v>
                </c:pt>
                <c:pt idx="31">
                  <c:v>5.0002000000000004</c:v>
                </c:pt>
                <c:pt idx="32">
                  <c:v>5.0110919999999997</c:v>
                </c:pt>
                <c:pt idx="33">
                  <c:v>5.0535482400000005</c:v>
                </c:pt>
                <c:pt idx="34">
                  <c:v>5.1322017936000002</c:v>
                </c:pt>
                <c:pt idx="35">
                  <c:v>5.2323877857600003</c:v>
                </c:pt>
                <c:pt idx="36">
                  <c:v>5.3420134575161606</c:v>
                </c:pt>
                <c:pt idx="37">
                  <c:v>5.4634611472877701</c:v>
                </c:pt>
                <c:pt idx="38">
                  <c:v>5.7164141240855102</c:v>
                </c:pt>
                <c:pt idx="39">
                  <c:v>6.2032467908219644</c:v>
                </c:pt>
                <c:pt idx="40">
                  <c:v>6.7943114077575721</c:v>
                </c:pt>
                <c:pt idx="41">
                  <c:v>7.3710971265202794</c:v>
                </c:pt>
                <c:pt idx="42">
                  <c:v>7.9330895952559572</c:v>
                </c:pt>
                <c:pt idx="43">
                  <c:v>8.4802160726024027</c:v>
                </c:pt>
                <c:pt idx="44">
                  <c:v>9.013068873858888</c:v>
                </c:pt>
                <c:pt idx="45">
                  <c:v>9.5333074963817133</c:v>
                </c:pt>
                <c:pt idx="46">
                  <c:v>10.046441346454081</c:v>
                </c:pt>
                <c:pt idx="47">
                  <c:v>10.561536519525003</c:v>
                </c:pt>
                <c:pt idx="48">
                  <c:v>11.109909309134505</c:v>
                </c:pt>
                <c:pt idx="49">
                  <c:v>11.748022572551818</c:v>
                </c:pt>
                <c:pt idx="50">
                  <c:v>12.482896278623173</c:v>
                </c:pt>
                <c:pt idx="51">
                  <c:v>13.246204414402122</c:v>
                </c:pt>
                <c:pt idx="52">
                  <c:v>13.991633298002583</c:v>
                </c:pt>
                <c:pt idx="53">
                  <c:v>14.717748821803596</c:v>
                </c:pt>
                <c:pt idx="54">
                  <c:v>15.423260088996955</c:v>
                </c:pt>
                <c:pt idx="55">
                  <c:v>16.107044436242845</c:v>
                </c:pt>
                <c:pt idx="56">
                  <c:v>16.768354667062255</c:v>
                </c:pt>
                <c:pt idx="57">
                  <c:v>17.406031468322308</c:v>
                </c:pt>
                <c:pt idx="58">
                  <c:v>18.017187526530353</c:v>
                </c:pt>
                <c:pt idx="59">
                  <c:v>18.598433573562772</c:v>
                </c:pt>
                <c:pt idx="60">
                  <c:v>19.148194160800383</c:v>
                </c:pt>
                <c:pt idx="61">
                  <c:v>19.666475597575577</c:v>
                </c:pt>
                <c:pt idx="62">
                  <c:v>20.153487759084474</c:v>
                </c:pt>
                <c:pt idx="63">
                  <c:v>20.610722813556265</c:v>
                </c:pt>
                <c:pt idx="64">
                  <c:v>21.042739305911137</c:v>
                </c:pt>
                <c:pt idx="65">
                  <c:v>21.454282426554137</c:v>
                </c:pt>
                <c:pt idx="66">
                  <c:v>21.846601397167159</c:v>
                </c:pt>
                <c:pt idx="67">
                  <c:v>22.218609845493312</c:v>
                </c:pt>
                <c:pt idx="68">
                  <c:v>22.569158447478848</c:v>
                </c:pt>
                <c:pt idx="69">
                  <c:v>22.897686571805231</c:v>
                </c:pt>
                <c:pt idx="70">
                  <c:v>23.203836632635152</c:v>
                </c:pt>
                <c:pt idx="71">
                  <c:v>23.486685417276188</c:v>
                </c:pt>
                <c:pt idx="72">
                  <c:v>23.74474361472857</c:v>
                </c:pt>
                <c:pt idx="73">
                  <c:v>23.976496951799664</c:v>
                </c:pt>
                <c:pt idx="74">
                  <c:v>24.180690565782548</c:v>
                </c:pt>
                <c:pt idx="75">
                  <c:v>24.356353701568786</c:v>
                </c:pt>
                <c:pt idx="76">
                  <c:v>24.502112796047665</c:v>
                </c:pt>
                <c:pt idx="77">
                  <c:v>24.615251801950844</c:v>
                </c:pt>
                <c:pt idx="78">
                  <c:v>24.692448909319971</c:v>
                </c:pt>
                <c:pt idx="79">
                  <c:v>24.731371732510787</c:v>
                </c:pt>
                <c:pt idx="80">
                  <c:v>23.733281072938894</c:v>
                </c:pt>
                <c:pt idx="81">
                  <c:v>22.106669362171743</c:v>
                </c:pt>
                <c:pt idx="82">
                  <c:v>20.822213634869129</c:v>
                </c:pt>
                <c:pt idx="83">
                  <c:v>19.552360851907281</c:v>
                </c:pt>
                <c:pt idx="84">
                  <c:v>18.492204950925796</c:v>
                </c:pt>
                <c:pt idx="85">
                  <c:v>17.757351990740609</c:v>
                </c:pt>
                <c:pt idx="86">
                  <c:v>17.262604072184295</c:v>
                </c:pt>
                <c:pt idx="87">
                  <c:v>16.931228645086016</c:v>
                </c:pt>
                <c:pt idx="88">
                  <c:v>16.705335352128586</c:v>
                </c:pt>
                <c:pt idx="89">
                  <c:v>16.536056481763861</c:v>
                </c:pt>
                <c:pt idx="90">
                  <c:v>16.383731103840674</c:v>
                </c:pt>
                <c:pt idx="91">
                  <c:v>16.24870520800069</c:v>
                </c:pt>
                <c:pt idx="92">
                  <c:v>16.141535926531315</c:v>
                </c:pt>
                <c:pt idx="93">
                  <c:v>16.052587680133996</c:v>
                </c:pt>
                <c:pt idx="94">
                  <c:v>15.982232326667342</c:v>
                </c:pt>
                <c:pt idx="95">
                  <c:v>15.930849312925858</c:v>
                </c:pt>
                <c:pt idx="96">
                  <c:v>15.88862174788353</c:v>
                </c:pt>
                <c:pt idx="97">
                  <c:v>15.84553239579952</c:v>
                </c:pt>
                <c:pt idx="98">
                  <c:v>15.801461628366857</c:v>
                </c:pt>
                <c:pt idx="99">
                  <c:v>15.756085335068221</c:v>
                </c:pt>
                <c:pt idx="100">
                  <c:v>15.708976831702266</c:v>
                </c:pt>
                <c:pt idx="101">
                  <c:v>15.65970872704313</c:v>
                </c:pt>
                <c:pt idx="102">
                  <c:v>15.607750707578704</c:v>
                </c:pt>
                <c:pt idx="103">
                  <c:v>15.552571361872474</c:v>
                </c:pt>
                <c:pt idx="104">
                  <c:v>15.49374000447721</c:v>
                </c:pt>
                <c:pt idx="105">
                  <c:v>15.430416296063367</c:v>
                </c:pt>
                <c:pt idx="106">
                  <c:v>15.360839696341795</c:v>
                </c:pt>
                <c:pt idx="107">
                  <c:v>15.28212466384322</c:v>
                </c:pt>
                <c:pt idx="108">
                  <c:v>15.189953355697234</c:v>
                </c:pt>
                <c:pt idx="109">
                  <c:v>15.07826774279847</c:v>
                </c:pt>
                <c:pt idx="110">
                  <c:v>14.94028754530493</c:v>
                </c:pt>
                <c:pt idx="111">
                  <c:v>14.772282975380904</c:v>
                </c:pt>
                <c:pt idx="112">
                  <c:v>14.57071607197744</c:v>
                </c:pt>
                <c:pt idx="113">
                  <c:v>14.324484154725804</c:v>
                </c:pt>
                <c:pt idx="114">
                  <c:v>14.008996924884258</c:v>
                </c:pt>
                <c:pt idx="115">
                  <c:v>13.573411326440628</c:v>
                </c:pt>
                <c:pt idx="116">
                  <c:v>12.940814875477173</c:v>
                </c:pt>
                <c:pt idx="117">
                  <c:v>12.094010593850648</c:v>
                </c:pt>
                <c:pt idx="118">
                  <c:v>11.114387541037942</c:v>
                </c:pt>
                <c:pt idx="119">
                  <c:v>10.055729544364439</c:v>
                </c:pt>
                <c:pt idx="120">
                  <c:v>8.9046453148518978</c:v>
                </c:pt>
                <c:pt idx="121">
                  <c:v>7.6467874711821509</c:v>
                </c:pt>
                <c:pt idx="122">
                  <c:v>6.271744642806766</c:v>
                </c:pt>
                <c:pt idx="123">
                  <c:v>4.7935474244896596</c:v>
                </c:pt>
                <c:pt idx="124">
                  <c:v>3.2547557357335819</c:v>
                </c:pt>
                <c:pt idx="125">
                  <c:v>1.6682108860533162</c:v>
                </c:pt>
                <c:pt idx="1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F1-4FA4-9DB6-9368C5AD2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88671"/>
        <c:axId val="129090591"/>
      </c:lineChart>
      <c:catAx>
        <c:axId val="12908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0591"/>
        <c:crosses val="autoZero"/>
        <c:auto val="1"/>
        <c:lblAlgn val="ctr"/>
        <c:lblOffset val="100"/>
        <c:noMultiLvlLbl val="0"/>
      </c:catAx>
      <c:valAx>
        <c:axId val="12909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/>
              <a:t>Seperated Baseflow - Bass Creek at Loch</a:t>
            </a:r>
          </a:p>
        </c:rich>
      </c:tx>
      <c:layout>
        <c:manualLayout>
          <c:xMode val="edge"/>
          <c:yMode val="edge"/>
          <c:x val="0.18865029288557472"/>
          <c:y val="3.1890660592255128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Streamflow</c:v>
          </c:tx>
          <c:spPr>
            <a:ln w="22225"/>
          </c:spPr>
          <c:marker>
            <c:symbol val="none"/>
          </c:marker>
          <c:cat>
            <c:numRef>
              <c:f>'Worked example from paper'!$D$39:$D$105</c:f>
              <c:numCache>
                <c:formatCode>General</c:formatCode>
                <c:ptCount val="67"/>
                <c:pt idx="0">
                  <c:v>19740603</c:v>
                </c:pt>
                <c:pt idx="1">
                  <c:v>19740604</c:v>
                </c:pt>
                <c:pt idx="2">
                  <c:v>19740605</c:v>
                </c:pt>
                <c:pt idx="3">
                  <c:v>19740606</c:v>
                </c:pt>
                <c:pt idx="4">
                  <c:v>19740607</c:v>
                </c:pt>
                <c:pt idx="5">
                  <c:v>19740608</c:v>
                </c:pt>
                <c:pt idx="6">
                  <c:v>19740609</c:v>
                </c:pt>
                <c:pt idx="7">
                  <c:v>19740610</c:v>
                </c:pt>
                <c:pt idx="8">
                  <c:v>19740611</c:v>
                </c:pt>
                <c:pt idx="9">
                  <c:v>19740612</c:v>
                </c:pt>
                <c:pt idx="10">
                  <c:v>19740613</c:v>
                </c:pt>
                <c:pt idx="11">
                  <c:v>19740614</c:v>
                </c:pt>
                <c:pt idx="12">
                  <c:v>19740615</c:v>
                </c:pt>
                <c:pt idx="13">
                  <c:v>19740616</c:v>
                </c:pt>
                <c:pt idx="14">
                  <c:v>19740617</c:v>
                </c:pt>
                <c:pt idx="15">
                  <c:v>19740618</c:v>
                </c:pt>
                <c:pt idx="16">
                  <c:v>19740619</c:v>
                </c:pt>
                <c:pt idx="17">
                  <c:v>19740620</c:v>
                </c:pt>
                <c:pt idx="18">
                  <c:v>19740621</c:v>
                </c:pt>
                <c:pt idx="19">
                  <c:v>19740622</c:v>
                </c:pt>
                <c:pt idx="20">
                  <c:v>19740623</c:v>
                </c:pt>
                <c:pt idx="21">
                  <c:v>19740624</c:v>
                </c:pt>
                <c:pt idx="22">
                  <c:v>19740625</c:v>
                </c:pt>
                <c:pt idx="23">
                  <c:v>19740626</c:v>
                </c:pt>
                <c:pt idx="24">
                  <c:v>19740627</c:v>
                </c:pt>
                <c:pt idx="25">
                  <c:v>19740628</c:v>
                </c:pt>
                <c:pt idx="26">
                  <c:v>19740629</c:v>
                </c:pt>
                <c:pt idx="27">
                  <c:v>19740630</c:v>
                </c:pt>
                <c:pt idx="28">
                  <c:v>19740701</c:v>
                </c:pt>
                <c:pt idx="29">
                  <c:v>19740702</c:v>
                </c:pt>
                <c:pt idx="30">
                  <c:v>19740703</c:v>
                </c:pt>
                <c:pt idx="31">
                  <c:v>19740704</c:v>
                </c:pt>
                <c:pt idx="32">
                  <c:v>19740705</c:v>
                </c:pt>
                <c:pt idx="33">
                  <c:v>19740706</c:v>
                </c:pt>
                <c:pt idx="34">
                  <c:v>19740707</c:v>
                </c:pt>
                <c:pt idx="35">
                  <c:v>19740708</c:v>
                </c:pt>
                <c:pt idx="36">
                  <c:v>19740709</c:v>
                </c:pt>
                <c:pt idx="37">
                  <c:v>19740710</c:v>
                </c:pt>
                <c:pt idx="38">
                  <c:v>19740711</c:v>
                </c:pt>
                <c:pt idx="39">
                  <c:v>19740712</c:v>
                </c:pt>
                <c:pt idx="40">
                  <c:v>19740713</c:v>
                </c:pt>
                <c:pt idx="41">
                  <c:v>19740714</c:v>
                </c:pt>
                <c:pt idx="42">
                  <c:v>19740715</c:v>
                </c:pt>
                <c:pt idx="43">
                  <c:v>19740716</c:v>
                </c:pt>
                <c:pt idx="44">
                  <c:v>19740717</c:v>
                </c:pt>
                <c:pt idx="45">
                  <c:v>19740718</c:v>
                </c:pt>
                <c:pt idx="46">
                  <c:v>19740719</c:v>
                </c:pt>
                <c:pt idx="47">
                  <c:v>19740720</c:v>
                </c:pt>
                <c:pt idx="48">
                  <c:v>19740721</c:v>
                </c:pt>
                <c:pt idx="49">
                  <c:v>19740722</c:v>
                </c:pt>
                <c:pt idx="50">
                  <c:v>19740723</c:v>
                </c:pt>
                <c:pt idx="51">
                  <c:v>19740724</c:v>
                </c:pt>
                <c:pt idx="52">
                  <c:v>19740725</c:v>
                </c:pt>
                <c:pt idx="53">
                  <c:v>19740726</c:v>
                </c:pt>
                <c:pt idx="54">
                  <c:v>19740727</c:v>
                </c:pt>
                <c:pt idx="55">
                  <c:v>19740728</c:v>
                </c:pt>
                <c:pt idx="56">
                  <c:v>19740729</c:v>
                </c:pt>
                <c:pt idx="57">
                  <c:v>19740730</c:v>
                </c:pt>
                <c:pt idx="58">
                  <c:v>19740731</c:v>
                </c:pt>
                <c:pt idx="59">
                  <c:v>19740801</c:v>
                </c:pt>
                <c:pt idx="60">
                  <c:v>19740802</c:v>
                </c:pt>
                <c:pt idx="61">
                  <c:v>19740803</c:v>
                </c:pt>
                <c:pt idx="62">
                  <c:v>19740804</c:v>
                </c:pt>
                <c:pt idx="63">
                  <c:v>19740805</c:v>
                </c:pt>
                <c:pt idx="64">
                  <c:v>19740806</c:v>
                </c:pt>
                <c:pt idx="65">
                  <c:v>19740807</c:v>
                </c:pt>
                <c:pt idx="66">
                  <c:v>19740808</c:v>
                </c:pt>
              </c:numCache>
            </c:numRef>
          </c:cat>
          <c:val>
            <c:numRef>
              <c:f>'Worked example from paper'!$E$39:$E$105</c:f>
              <c:numCache>
                <c:formatCode>General</c:formatCode>
                <c:ptCount val="67"/>
                <c:pt idx="0">
                  <c:v>5</c:v>
                </c:pt>
                <c:pt idx="1">
                  <c:v>7</c:v>
                </c:pt>
                <c:pt idx="2">
                  <c:v>108</c:v>
                </c:pt>
                <c:pt idx="3">
                  <c:v>117</c:v>
                </c:pt>
                <c:pt idx="4">
                  <c:v>57</c:v>
                </c:pt>
                <c:pt idx="5">
                  <c:v>36</c:v>
                </c:pt>
                <c:pt idx="6">
                  <c:v>26</c:v>
                </c:pt>
                <c:pt idx="7">
                  <c:v>95</c:v>
                </c:pt>
                <c:pt idx="8">
                  <c:v>1169</c:v>
                </c:pt>
                <c:pt idx="9">
                  <c:v>308</c:v>
                </c:pt>
                <c:pt idx="10">
                  <c:v>144</c:v>
                </c:pt>
                <c:pt idx="11">
                  <c:v>89</c:v>
                </c:pt>
                <c:pt idx="12">
                  <c:v>62</c:v>
                </c:pt>
                <c:pt idx="13">
                  <c:v>48</c:v>
                </c:pt>
                <c:pt idx="14">
                  <c:v>40</c:v>
                </c:pt>
                <c:pt idx="15">
                  <c:v>35</c:v>
                </c:pt>
                <c:pt idx="16">
                  <c:v>73</c:v>
                </c:pt>
                <c:pt idx="17">
                  <c:v>82</c:v>
                </c:pt>
                <c:pt idx="18">
                  <c:v>342</c:v>
                </c:pt>
                <c:pt idx="19">
                  <c:v>393</c:v>
                </c:pt>
                <c:pt idx="20">
                  <c:v>310</c:v>
                </c:pt>
                <c:pt idx="21">
                  <c:v>275</c:v>
                </c:pt>
                <c:pt idx="22">
                  <c:v>260</c:v>
                </c:pt>
                <c:pt idx="23">
                  <c:v>245</c:v>
                </c:pt>
                <c:pt idx="24">
                  <c:v>256</c:v>
                </c:pt>
                <c:pt idx="25">
                  <c:v>141</c:v>
                </c:pt>
                <c:pt idx="26">
                  <c:v>119</c:v>
                </c:pt>
                <c:pt idx="27">
                  <c:v>934</c:v>
                </c:pt>
                <c:pt idx="28">
                  <c:v>382</c:v>
                </c:pt>
                <c:pt idx="29">
                  <c:v>158</c:v>
                </c:pt>
                <c:pt idx="30">
                  <c:v>96</c:v>
                </c:pt>
                <c:pt idx="31">
                  <c:v>122</c:v>
                </c:pt>
                <c:pt idx="32">
                  <c:v>103</c:v>
                </c:pt>
                <c:pt idx="33">
                  <c:v>83</c:v>
                </c:pt>
                <c:pt idx="34">
                  <c:v>67</c:v>
                </c:pt>
                <c:pt idx="35">
                  <c:v>148</c:v>
                </c:pt>
                <c:pt idx="36">
                  <c:v>366</c:v>
                </c:pt>
                <c:pt idx="37">
                  <c:v>161</c:v>
                </c:pt>
                <c:pt idx="38">
                  <c:v>119</c:v>
                </c:pt>
                <c:pt idx="39">
                  <c:v>82</c:v>
                </c:pt>
                <c:pt idx="40">
                  <c:v>330</c:v>
                </c:pt>
                <c:pt idx="41">
                  <c:v>294</c:v>
                </c:pt>
                <c:pt idx="42">
                  <c:v>261</c:v>
                </c:pt>
                <c:pt idx="43">
                  <c:v>266</c:v>
                </c:pt>
                <c:pt idx="44">
                  <c:v>153</c:v>
                </c:pt>
                <c:pt idx="45">
                  <c:v>247</c:v>
                </c:pt>
                <c:pt idx="46">
                  <c:v>703</c:v>
                </c:pt>
                <c:pt idx="47">
                  <c:v>498</c:v>
                </c:pt>
                <c:pt idx="48">
                  <c:v>286</c:v>
                </c:pt>
                <c:pt idx="49">
                  <c:v>163</c:v>
                </c:pt>
                <c:pt idx="50">
                  <c:v>124</c:v>
                </c:pt>
                <c:pt idx="51">
                  <c:v>85</c:v>
                </c:pt>
                <c:pt idx="52">
                  <c:v>94</c:v>
                </c:pt>
                <c:pt idx="53">
                  <c:v>81</c:v>
                </c:pt>
                <c:pt idx="54">
                  <c:v>62</c:v>
                </c:pt>
                <c:pt idx="55">
                  <c:v>47</c:v>
                </c:pt>
                <c:pt idx="56">
                  <c:v>37</c:v>
                </c:pt>
                <c:pt idx="57">
                  <c:v>30</c:v>
                </c:pt>
                <c:pt idx="58">
                  <c:v>26</c:v>
                </c:pt>
                <c:pt idx="59">
                  <c:v>24</c:v>
                </c:pt>
                <c:pt idx="60">
                  <c:v>24</c:v>
                </c:pt>
                <c:pt idx="61">
                  <c:v>22</c:v>
                </c:pt>
                <c:pt idx="62">
                  <c:v>21</c:v>
                </c:pt>
                <c:pt idx="63">
                  <c:v>20</c:v>
                </c:pt>
                <c:pt idx="64">
                  <c:v>19</c:v>
                </c:pt>
                <c:pt idx="65">
                  <c:v>18</c:v>
                </c:pt>
                <c:pt idx="6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9F-4273-9F9C-5D463695386E}"/>
            </c:ext>
          </c:extLst>
        </c:ser>
        <c:ser>
          <c:idx val="1"/>
          <c:order val="1"/>
          <c:tx>
            <c:v>Baseflow</c:v>
          </c:tx>
          <c:spPr>
            <a:ln w="22225"/>
          </c:spPr>
          <c:marker>
            <c:symbol val="none"/>
          </c:marker>
          <c:cat>
            <c:numRef>
              <c:f>'Worked example from paper'!$D$39:$D$105</c:f>
              <c:numCache>
                <c:formatCode>General</c:formatCode>
                <c:ptCount val="67"/>
                <c:pt idx="0">
                  <c:v>19740603</c:v>
                </c:pt>
                <c:pt idx="1">
                  <c:v>19740604</c:v>
                </c:pt>
                <c:pt idx="2">
                  <c:v>19740605</c:v>
                </c:pt>
                <c:pt idx="3">
                  <c:v>19740606</c:v>
                </c:pt>
                <c:pt idx="4">
                  <c:v>19740607</c:v>
                </c:pt>
                <c:pt idx="5">
                  <c:v>19740608</c:v>
                </c:pt>
                <c:pt idx="6">
                  <c:v>19740609</c:v>
                </c:pt>
                <c:pt idx="7">
                  <c:v>19740610</c:v>
                </c:pt>
                <c:pt idx="8">
                  <c:v>19740611</c:v>
                </c:pt>
                <c:pt idx="9">
                  <c:v>19740612</c:v>
                </c:pt>
                <c:pt idx="10">
                  <c:v>19740613</c:v>
                </c:pt>
                <c:pt idx="11">
                  <c:v>19740614</c:v>
                </c:pt>
                <c:pt idx="12">
                  <c:v>19740615</c:v>
                </c:pt>
                <c:pt idx="13">
                  <c:v>19740616</c:v>
                </c:pt>
                <c:pt idx="14">
                  <c:v>19740617</c:v>
                </c:pt>
                <c:pt idx="15">
                  <c:v>19740618</c:v>
                </c:pt>
                <c:pt idx="16">
                  <c:v>19740619</c:v>
                </c:pt>
                <c:pt idx="17">
                  <c:v>19740620</c:v>
                </c:pt>
                <c:pt idx="18">
                  <c:v>19740621</c:v>
                </c:pt>
                <c:pt idx="19">
                  <c:v>19740622</c:v>
                </c:pt>
                <c:pt idx="20">
                  <c:v>19740623</c:v>
                </c:pt>
                <c:pt idx="21">
                  <c:v>19740624</c:v>
                </c:pt>
                <c:pt idx="22">
                  <c:v>19740625</c:v>
                </c:pt>
                <c:pt idx="23">
                  <c:v>19740626</c:v>
                </c:pt>
                <c:pt idx="24">
                  <c:v>19740627</c:v>
                </c:pt>
                <c:pt idx="25">
                  <c:v>19740628</c:v>
                </c:pt>
                <c:pt idx="26">
                  <c:v>19740629</c:v>
                </c:pt>
                <c:pt idx="27">
                  <c:v>19740630</c:v>
                </c:pt>
                <c:pt idx="28">
                  <c:v>19740701</c:v>
                </c:pt>
                <c:pt idx="29">
                  <c:v>19740702</c:v>
                </c:pt>
                <c:pt idx="30">
                  <c:v>19740703</c:v>
                </c:pt>
                <c:pt idx="31">
                  <c:v>19740704</c:v>
                </c:pt>
                <c:pt idx="32">
                  <c:v>19740705</c:v>
                </c:pt>
                <c:pt idx="33">
                  <c:v>19740706</c:v>
                </c:pt>
                <c:pt idx="34">
                  <c:v>19740707</c:v>
                </c:pt>
                <c:pt idx="35">
                  <c:v>19740708</c:v>
                </c:pt>
                <c:pt idx="36">
                  <c:v>19740709</c:v>
                </c:pt>
                <c:pt idx="37">
                  <c:v>19740710</c:v>
                </c:pt>
                <c:pt idx="38">
                  <c:v>19740711</c:v>
                </c:pt>
                <c:pt idx="39">
                  <c:v>19740712</c:v>
                </c:pt>
                <c:pt idx="40">
                  <c:v>19740713</c:v>
                </c:pt>
                <c:pt idx="41">
                  <c:v>19740714</c:v>
                </c:pt>
                <c:pt idx="42">
                  <c:v>19740715</c:v>
                </c:pt>
                <c:pt idx="43">
                  <c:v>19740716</c:v>
                </c:pt>
                <c:pt idx="44">
                  <c:v>19740717</c:v>
                </c:pt>
                <c:pt idx="45">
                  <c:v>19740718</c:v>
                </c:pt>
                <c:pt idx="46">
                  <c:v>19740719</c:v>
                </c:pt>
                <c:pt idx="47">
                  <c:v>19740720</c:v>
                </c:pt>
                <c:pt idx="48">
                  <c:v>19740721</c:v>
                </c:pt>
                <c:pt idx="49">
                  <c:v>19740722</c:v>
                </c:pt>
                <c:pt idx="50">
                  <c:v>19740723</c:v>
                </c:pt>
                <c:pt idx="51">
                  <c:v>19740724</c:v>
                </c:pt>
                <c:pt idx="52">
                  <c:v>19740725</c:v>
                </c:pt>
                <c:pt idx="53">
                  <c:v>19740726</c:v>
                </c:pt>
                <c:pt idx="54">
                  <c:v>19740727</c:v>
                </c:pt>
                <c:pt idx="55">
                  <c:v>19740728</c:v>
                </c:pt>
                <c:pt idx="56">
                  <c:v>19740729</c:v>
                </c:pt>
                <c:pt idx="57">
                  <c:v>19740730</c:v>
                </c:pt>
                <c:pt idx="58">
                  <c:v>19740731</c:v>
                </c:pt>
                <c:pt idx="59">
                  <c:v>19740801</c:v>
                </c:pt>
                <c:pt idx="60">
                  <c:v>19740802</c:v>
                </c:pt>
                <c:pt idx="61">
                  <c:v>19740803</c:v>
                </c:pt>
                <c:pt idx="62">
                  <c:v>19740804</c:v>
                </c:pt>
                <c:pt idx="63">
                  <c:v>19740805</c:v>
                </c:pt>
                <c:pt idx="64">
                  <c:v>19740806</c:v>
                </c:pt>
                <c:pt idx="65">
                  <c:v>19740807</c:v>
                </c:pt>
                <c:pt idx="66">
                  <c:v>19740808</c:v>
                </c:pt>
              </c:numCache>
            </c:numRef>
          </c:cat>
          <c:val>
            <c:numRef>
              <c:f>'Worked example from paper'!$K$39:$K$105</c:f>
              <c:numCache>
                <c:formatCode>0.00</c:formatCode>
                <c:ptCount val="67"/>
                <c:pt idx="0">
                  <c:v>5</c:v>
                </c:pt>
                <c:pt idx="1">
                  <c:v>7</c:v>
                </c:pt>
                <c:pt idx="2">
                  <c:v>22.071421354296035</c:v>
                </c:pt>
                <c:pt idx="3">
                  <c:v>23.210184638794722</c:v>
                </c:pt>
                <c:pt idx="4">
                  <c:v>24.105074914034574</c:v>
                </c:pt>
                <c:pt idx="5">
                  <c:v>24.552973415753883</c:v>
                </c:pt>
                <c:pt idx="6">
                  <c:v>24.681913947438808</c:v>
                </c:pt>
                <c:pt idx="7">
                  <c:v>25.260111713193993</c:v>
                </c:pt>
                <c:pt idx="8">
                  <c:v>26.376364601372003</c:v>
                </c:pt>
                <c:pt idx="9">
                  <c:v>27.463392015845294</c:v>
                </c:pt>
                <c:pt idx="10">
                  <c:v>28.51767216188653</c:v>
                </c:pt>
                <c:pt idx="11">
                  <c:v>29.540266708116846</c:v>
                </c:pt>
                <c:pt idx="12">
                  <c:v>30.363797005827212</c:v>
                </c:pt>
                <c:pt idx="13">
                  <c:v>30.85652106571067</c:v>
                </c:pt>
                <c:pt idx="14">
                  <c:v>31.119390644396454</c:v>
                </c:pt>
                <c:pt idx="15">
                  <c:v>31.247002831508528</c:v>
                </c:pt>
                <c:pt idx="16">
                  <c:v>31.702062774878357</c:v>
                </c:pt>
                <c:pt idx="17">
                  <c:v>32.61802151938079</c:v>
                </c:pt>
                <c:pt idx="18">
                  <c:v>33.605931961848782</c:v>
                </c:pt>
                <c:pt idx="19">
                  <c:v>34.568425145417223</c:v>
                </c:pt>
                <c:pt idx="20">
                  <c:v>35.498673656625122</c:v>
                </c:pt>
                <c:pt idx="21">
                  <c:v>36.395202640762193</c:v>
                </c:pt>
                <c:pt idx="22">
                  <c:v>37.256885060801395</c:v>
                </c:pt>
                <c:pt idx="23">
                  <c:v>38.082862577197275</c:v>
                </c:pt>
                <c:pt idx="24">
                  <c:v>38.872402804438046</c:v>
                </c:pt>
                <c:pt idx="25">
                  <c:v>39.624924772992031</c:v>
                </c:pt>
                <c:pt idx="26">
                  <c:v>40.341450305870808</c:v>
                </c:pt>
                <c:pt idx="27">
                  <c:v>41.022573645151127</c:v>
                </c:pt>
                <c:pt idx="28">
                  <c:v>41.664659052963913</c:v>
                </c:pt>
                <c:pt idx="29">
                  <c:v>42.263554176606377</c:v>
                </c:pt>
                <c:pt idx="30">
                  <c:v>42.823654901179381</c:v>
                </c:pt>
                <c:pt idx="31">
                  <c:v>43.353695557253872</c:v>
                </c:pt>
                <c:pt idx="32">
                  <c:v>43.856227517637436</c:v>
                </c:pt>
                <c:pt idx="33">
                  <c:v>44.3347212035384</c:v>
                </c:pt>
                <c:pt idx="34">
                  <c:v>44.79328851494931</c:v>
                </c:pt>
                <c:pt idx="35">
                  <c:v>45.233135932848668</c:v>
                </c:pt>
                <c:pt idx="36">
                  <c:v>45.643387278226299</c:v>
                </c:pt>
                <c:pt idx="37">
                  <c:v>46.01161170702354</c:v>
                </c:pt>
                <c:pt idx="38">
                  <c:v>46.34051840893946</c:v>
                </c:pt>
                <c:pt idx="39">
                  <c:v>46.640290002302642</c:v>
                </c:pt>
                <c:pt idx="40">
                  <c:v>46.914833984903368</c:v>
                </c:pt>
                <c:pt idx="41">
                  <c:v>47.153669797545447</c:v>
                </c:pt>
                <c:pt idx="42">
                  <c:v>47.348965357147243</c:v>
                </c:pt>
                <c:pt idx="43">
                  <c:v>47.499748966302448</c:v>
                </c:pt>
                <c:pt idx="44">
                  <c:v>47.605967436935096</c:v>
                </c:pt>
                <c:pt idx="45">
                  <c:v>47.667833610995288</c:v>
                </c:pt>
                <c:pt idx="46">
                  <c:v>47.302435627801543</c:v>
                </c:pt>
                <c:pt idx="47">
                  <c:v>44.776381847256403</c:v>
                </c:pt>
                <c:pt idx="48">
                  <c:v>42.066053120526476</c:v>
                </c:pt>
                <c:pt idx="49">
                  <c:v>39.427112134242819</c:v>
                </c:pt>
                <c:pt idx="50">
                  <c:v>37.303175647186549</c:v>
                </c:pt>
                <c:pt idx="51">
                  <c:v>35.931811884884226</c:v>
                </c:pt>
                <c:pt idx="52">
                  <c:v>34.838583556004316</c:v>
                </c:pt>
                <c:pt idx="53">
                  <c:v>33.763860771432974</c:v>
                </c:pt>
                <c:pt idx="54">
                  <c:v>32.993735481054053</c:v>
                </c:pt>
                <c:pt idx="55">
                  <c:v>32.554832123524541</c:v>
                </c:pt>
                <c:pt idx="56">
                  <c:v>32.362073595433209</c:v>
                </c:pt>
                <c:pt idx="57">
                  <c:v>30</c:v>
                </c:pt>
                <c:pt idx="58">
                  <c:v>26</c:v>
                </c:pt>
                <c:pt idx="59">
                  <c:v>24</c:v>
                </c:pt>
                <c:pt idx="60">
                  <c:v>24</c:v>
                </c:pt>
                <c:pt idx="61">
                  <c:v>22</c:v>
                </c:pt>
                <c:pt idx="62">
                  <c:v>21</c:v>
                </c:pt>
                <c:pt idx="63">
                  <c:v>20</c:v>
                </c:pt>
                <c:pt idx="64">
                  <c:v>19</c:v>
                </c:pt>
                <c:pt idx="65">
                  <c:v>18</c:v>
                </c:pt>
                <c:pt idx="6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9F-4273-9F9C-5D4636953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98560"/>
        <c:axId val="148280448"/>
      </c:lineChart>
      <c:catAx>
        <c:axId val="140098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Date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280448"/>
        <c:crosses val="autoZero"/>
        <c:auto val="1"/>
        <c:lblAlgn val="ctr"/>
        <c:lblOffset val="100"/>
        <c:tickLblSkip val="30"/>
        <c:noMultiLvlLbl val="0"/>
      </c:catAx>
      <c:valAx>
        <c:axId val="1482804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Flow (ML/day)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9856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368300</xdr:colOff>
      <xdr:row>6</xdr:row>
      <xdr:rowOff>0</xdr:rowOff>
    </xdr:from>
    <xdr:to>
      <xdr:col>33</xdr:col>
      <xdr:colOff>306916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D4F4E2-8B8A-420E-89F1-5A50AD369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450273</xdr:colOff>
      <xdr:row>24</xdr:row>
      <xdr:rowOff>17317</xdr:rowOff>
    </xdr:from>
    <xdr:to>
      <xdr:col>33</xdr:col>
      <xdr:colOff>402220</xdr:colOff>
      <xdr:row>39</xdr:row>
      <xdr:rowOff>8135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16E675-59F9-4E99-9061-AABF8ACCB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7091" y="4450772"/>
          <a:ext cx="14637765" cy="27617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368300</xdr:colOff>
      <xdr:row>6</xdr:row>
      <xdr:rowOff>0</xdr:rowOff>
    </xdr:from>
    <xdr:to>
      <xdr:col>33</xdr:col>
      <xdr:colOff>306916</xdr:colOff>
      <xdr:row>20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02F478-F675-4EE2-923E-191452B47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305955</xdr:colOff>
      <xdr:row>22</xdr:row>
      <xdr:rowOff>132772</xdr:rowOff>
    </xdr:from>
    <xdr:to>
      <xdr:col>33</xdr:col>
      <xdr:colOff>257902</xdr:colOff>
      <xdr:row>37</xdr:row>
      <xdr:rowOff>123590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8ABCA6-7482-BDFA-FC25-753F20B92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82773" y="4196772"/>
          <a:ext cx="14637765" cy="27617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209549</xdr:colOff>
      <xdr:row>1</xdr:row>
      <xdr:rowOff>187324</xdr:rowOff>
    </xdr:from>
    <xdr:to>
      <xdr:col>38</xdr:col>
      <xdr:colOff>492125</xdr:colOff>
      <xdr:row>44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ACF6E8-2FE8-5219-36F5-03BDE5B2F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428625</xdr:colOff>
      <xdr:row>8</xdr:row>
      <xdr:rowOff>28575</xdr:rowOff>
    </xdr:from>
    <xdr:to>
      <xdr:col>21</xdr:col>
      <xdr:colOff>152400</xdr:colOff>
      <xdr:row>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ED511-B697-4D91-858D-9060B2695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F999C-49B6-4095-8A4F-B07E3FCC9171}">
  <dimension ref="A1:P421"/>
  <sheetViews>
    <sheetView tabSelected="1" topLeftCell="K1" zoomScale="110" zoomScaleNormal="110" workbookViewId="0">
      <pane ySplit="2" topLeftCell="A12" activePane="bottomLeft" state="frozen"/>
      <selection activeCell="B1" sqref="B1"/>
      <selection pane="bottomLeft" activeCell="P5" sqref="P5"/>
    </sheetView>
  </sheetViews>
  <sheetFormatPr defaultRowHeight="14.5" x14ac:dyDescent="0.35"/>
  <cols>
    <col min="1" max="2" width="13.1796875" customWidth="1"/>
    <col min="7" max="7" width="9.453125" bestFit="1" customWidth="1"/>
  </cols>
  <sheetData>
    <row r="1" spans="1:16" x14ac:dyDescent="0.35">
      <c r="A1" t="s">
        <v>4</v>
      </c>
      <c r="B1">
        <v>0.92500000000000004</v>
      </c>
      <c r="C1" t="s">
        <v>6</v>
      </c>
      <c r="E1" t="s">
        <v>7</v>
      </c>
      <c r="G1" t="s">
        <v>8</v>
      </c>
    </row>
    <row r="2" spans="1:16" x14ac:dyDescent="0.35">
      <c r="A2" t="s">
        <v>0</v>
      </c>
      <c r="B2" t="s">
        <v>1</v>
      </c>
      <c r="C2" t="s">
        <v>3</v>
      </c>
      <c r="D2" t="s">
        <v>5</v>
      </c>
      <c r="E2" t="s">
        <v>3</v>
      </c>
      <c r="F2" t="s">
        <v>5</v>
      </c>
      <c r="G2" t="s">
        <v>3</v>
      </c>
      <c r="H2" t="s">
        <v>5</v>
      </c>
    </row>
    <row r="3" spans="1:16" x14ac:dyDescent="0.35">
      <c r="A3" s="4">
        <v>43861</v>
      </c>
      <c r="B3" s="2">
        <v>0.57304656562056766</v>
      </c>
      <c r="C3" s="2">
        <v>0</v>
      </c>
      <c r="D3" s="1">
        <f>B3-C3</f>
        <v>0.57304656562056766</v>
      </c>
      <c r="E3" s="1">
        <f>MAX(alpha*E4+(1+alpha)/2*(D3-D4),0)</f>
        <v>6.064125282495917E-2</v>
      </c>
      <c r="F3" s="1">
        <f>D3-E3</f>
        <v>0.51240531279560853</v>
      </c>
      <c r="G3" s="2">
        <v>0</v>
      </c>
      <c r="H3" s="1">
        <f>F3-G3</f>
        <v>0.51240531279560853</v>
      </c>
    </row>
    <row r="4" spans="1:16" x14ac:dyDescent="0.35">
      <c r="A4" s="4">
        <v>43860</v>
      </c>
      <c r="B4" s="2">
        <v>0.59985129294935591</v>
      </c>
      <c r="C4" s="1">
        <f>MAX(alpha*C3+(1+alpha)/2*(B4-B3),0)</f>
        <v>2.5799550053958689E-2</v>
      </c>
      <c r="D4" s="1">
        <f t="shared" ref="D4:D67" si="0">B4-C4</f>
        <v>0.57405174289539718</v>
      </c>
      <c r="E4" s="1">
        <f>MAX(alpha*E5+(1+alpha)/2*(D4-D5),0)</f>
        <v>6.6604038867008192E-2</v>
      </c>
      <c r="F4" s="1">
        <f t="shared" ref="F4:F67" si="1">D4-E4</f>
        <v>0.50744770402838901</v>
      </c>
      <c r="G4" s="1">
        <f>MAX(alpha*G3+(1+alpha)/2*(F4-F3),0)</f>
        <v>0</v>
      </c>
      <c r="H4" s="1">
        <f t="shared" ref="H4:H67" si="2">F4-G4</f>
        <v>0.50744770402838901</v>
      </c>
    </row>
    <row r="5" spans="1:16" x14ac:dyDescent="0.35">
      <c r="A5" s="4">
        <v>43859</v>
      </c>
      <c r="B5" s="2">
        <v>0.64696564994048178</v>
      </c>
      <c r="C5" s="1">
        <f>MAX(alpha*C4+(1+alpha)/2*(B5-B4),0)</f>
        <v>6.9212152403870436E-2</v>
      </c>
      <c r="D5" s="1">
        <f t="shared" si="0"/>
        <v>0.57775349753661132</v>
      </c>
      <c r="E5" s="1">
        <f>MAX(alpha*E6+(1+alpha)/2*(D5-D6),0)</f>
        <v>7.5856192118028978E-2</v>
      </c>
      <c r="F5" s="1">
        <f t="shared" si="1"/>
        <v>0.50189730541858235</v>
      </c>
      <c r="G5" s="1">
        <f>MAX(alpha*G4+(1+alpha)/2*(F5-F4),0)</f>
        <v>0</v>
      </c>
      <c r="H5" s="1">
        <f t="shared" si="2"/>
        <v>0.50189730541858235</v>
      </c>
      <c r="K5" s="43" t="s">
        <v>43</v>
      </c>
      <c r="P5" t="s">
        <v>33</v>
      </c>
    </row>
    <row r="6" spans="1:16" x14ac:dyDescent="0.35">
      <c r="A6" s="4">
        <v>43858</v>
      </c>
      <c r="B6" s="2">
        <v>0.70436871118050226</v>
      </c>
      <c r="C6" s="1">
        <f>MAX(alpha*C5+(1+alpha)/2*(B6-B5),0)</f>
        <v>0.11927168741709987</v>
      </c>
      <c r="D6" s="1">
        <f t="shared" si="0"/>
        <v>0.58509702376340234</v>
      </c>
      <c r="E6" s="1">
        <f>MAX(alpha*E7+(1+alpha)/2*(D6-D7),0)</f>
        <v>8.9647930931151712E-2</v>
      </c>
      <c r="F6" s="1">
        <f t="shared" si="1"/>
        <v>0.49544909283225064</v>
      </c>
      <c r="G6" s="1">
        <f>MAX(alpha*G5+(1+alpha)/2*(F6-F5),0)</f>
        <v>0</v>
      </c>
      <c r="H6" s="1">
        <f t="shared" si="2"/>
        <v>0.49544909283225064</v>
      </c>
    </row>
    <row r="7" spans="1:16" x14ac:dyDescent="0.35">
      <c r="A7" s="4">
        <v>43857</v>
      </c>
      <c r="B7" s="2">
        <v>0.78415227691585165</v>
      </c>
      <c r="C7" s="1">
        <f>MAX(alpha*C6+(1+alpha)/2*(B7-B6),0)</f>
        <v>0.18711799288109118</v>
      </c>
      <c r="D7" s="1">
        <f t="shared" si="0"/>
        <v>0.59703428403476044</v>
      </c>
      <c r="E7" s="1">
        <f>MAX(alpha*E8+(1+alpha)/2*(D7-D8),0)</f>
        <v>0.10933788534306366</v>
      </c>
      <c r="F7" s="1">
        <f t="shared" si="1"/>
        <v>0.48769639869169679</v>
      </c>
      <c r="G7" s="1">
        <f>MAX(alpha*G6+(1+alpha)/2*(F7-F6),0)</f>
        <v>0</v>
      </c>
      <c r="H7" s="1">
        <f t="shared" si="2"/>
        <v>0.48769639869169679</v>
      </c>
    </row>
    <row r="8" spans="1:16" x14ac:dyDescent="0.35">
      <c r="A8" s="4">
        <v>43856</v>
      </c>
      <c r="B8" s="2">
        <v>0.86305789450232784</v>
      </c>
      <c r="C8" s="1">
        <f>MAX(alpha*C7+(1+alpha)/2*(B8-B7),0)</f>
        <v>0.24903080034199268</v>
      </c>
      <c r="D8" s="1">
        <f t="shared" si="0"/>
        <v>0.61402709416033519</v>
      </c>
      <c r="E8" s="1">
        <f>MAX(alpha*E9+(1+alpha)/2*(D8-D9),0)</f>
        <v>0.13588482712316685</v>
      </c>
      <c r="F8" s="1">
        <f t="shared" si="1"/>
        <v>0.47814226703716833</v>
      </c>
      <c r="G8" s="1">
        <f>MAX(alpha*G7+(1+alpha)/2*(F8-F7),0)</f>
        <v>0</v>
      </c>
      <c r="H8" s="1">
        <f t="shared" si="2"/>
        <v>0.47814226703716833</v>
      </c>
    </row>
    <row r="9" spans="1:16" x14ac:dyDescent="0.35">
      <c r="A9" s="4">
        <v>43855</v>
      </c>
      <c r="B9" s="2">
        <v>0.87360986370156335</v>
      </c>
      <c r="C9" s="1">
        <f>MAX(alpha*C8+(1+alpha)/2*(B9-B8),0)</f>
        <v>0.24050976067060742</v>
      </c>
      <c r="D9" s="1">
        <f t="shared" si="0"/>
        <v>0.63310010303095599</v>
      </c>
      <c r="E9" s="1">
        <f>MAX(alpha*E10+(1+alpha)/2*(D9-D10),0)</f>
        <v>0.1667487547687993</v>
      </c>
      <c r="F9" s="1">
        <f t="shared" si="1"/>
        <v>0.46635134826215668</v>
      </c>
      <c r="G9" s="1">
        <f>MAX(alpha*G8+(1+alpha)/2*(F9-F8),0)</f>
        <v>0</v>
      </c>
      <c r="H9" s="1">
        <f t="shared" si="2"/>
        <v>0.46635134826215668</v>
      </c>
    </row>
    <row r="10" spans="1:16" x14ac:dyDescent="0.35">
      <c r="A10" s="4">
        <v>43854</v>
      </c>
      <c r="B10" s="2">
        <v>0.76050112180332452</v>
      </c>
      <c r="C10" s="1">
        <f>MAX(alpha*C9+(1+alpha)/2*(B10-B9),0)</f>
        <v>0.11360436454325701</v>
      </c>
      <c r="D10" s="1">
        <f t="shared" si="0"/>
        <v>0.64689675726006746</v>
      </c>
      <c r="E10" s="1">
        <f>MAX(alpha*E11+(1+alpha)/2*(D10-D11),0)</f>
        <v>0.19462490212358818</v>
      </c>
      <c r="F10" s="1">
        <f t="shared" si="1"/>
        <v>0.45227185513647927</v>
      </c>
      <c r="G10" s="1">
        <f>MAX(alpha*G9+(1+alpha)/2*(F10-F9),0)</f>
        <v>0</v>
      </c>
      <c r="H10" s="1">
        <f t="shared" si="2"/>
        <v>0.45227185513647927</v>
      </c>
    </row>
    <row r="11" spans="1:16" x14ac:dyDescent="0.35">
      <c r="A11" s="4">
        <v>43853</v>
      </c>
      <c r="B11" s="2">
        <v>0.46738558510500189</v>
      </c>
      <c r="C11" s="1">
        <f>MAX(alpha*C10+(1+alpha)/2*(B11-B10),0)</f>
        <v>0</v>
      </c>
      <c r="D11" s="1">
        <f t="shared" si="0"/>
        <v>0.46738558510500189</v>
      </c>
      <c r="E11" s="1">
        <f>MAX(alpha*E12+(1+alpha)/2*(D11-D12),0)</f>
        <v>2.3616647485770328E-2</v>
      </c>
      <c r="F11" s="1">
        <f t="shared" si="1"/>
        <v>0.44376893761923158</v>
      </c>
      <c r="G11" s="1">
        <f>MAX(alpha*G10+(1+alpha)/2*(F11-F10),0)</f>
        <v>0</v>
      </c>
      <c r="H11" s="1">
        <f t="shared" si="2"/>
        <v>0.44376893761923158</v>
      </c>
    </row>
    <row r="12" spans="1:16" x14ac:dyDescent="0.35">
      <c r="A12" s="4">
        <v>43852</v>
      </c>
      <c r="B12" s="2">
        <v>0.44284880849640934</v>
      </c>
      <c r="C12" s="1">
        <f>MAX(alpha*C11+(1+alpha)/2*(B12-B11),0)</f>
        <v>0</v>
      </c>
      <c r="D12" s="1">
        <f t="shared" si="0"/>
        <v>0.44284880849640934</v>
      </c>
      <c r="E12" s="1">
        <f>MAX(alpha*E13+(1+alpha)/2*(D12-D13),0)</f>
        <v>0</v>
      </c>
      <c r="F12" s="1">
        <f t="shared" si="1"/>
        <v>0.44284880849640934</v>
      </c>
      <c r="G12" s="1">
        <f>MAX(alpha*G11+(1+alpha)/2*(F12-F11),0)</f>
        <v>0</v>
      </c>
      <c r="H12" s="1">
        <f t="shared" si="2"/>
        <v>0.44284880849640934</v>
      </c>
    </row>
    <row r="13" spans="1:16" x14ac:dyDescent="0.35">
      <c r="A13" s="4">
        <v>43851</v>
      </c>
      <c r="B13" s="2">
        <v>0.45927977394038505</v>
      </c>
      <c r="C13" s="1">
        <f>MAX(alpha*C12+(1+alpha)/2*(B13-B12),0)</f>
        <v>1.5814804239826622E-2</v>
      </c>
      <c r="D13" s="1">
        <f t="shared" si="0"/>
        <v>0.44346496970055843</v>
      </c>
      <c r="E13" s="1">
        <f>MAX(alpha*E14+(1+alpha)/2*(D13-D14),0)</f>
        <v>0</v>
      </c>
      <c r="F13" s="1">
        <f t="shared" si="1"/>
        <v>0.44346496970055843</v>
      </c>
      <c r="G13" s="1">
        <f>MAX(alpha*G12+(1+alpha)/2*(F13-F12),0)</f>
        <v>5.9305515899349957E-4</v>
      </c>
      <c r="H13" s="1">
        <f t="shared" si="2"/>
        <v>0.44287191454156494</v>
      </c>
    </row>
    <row r="14" spans="1:16" x14ac:dyDescent="0.35">
      <c r="A14" s="4">
        <v>43850</v>
      </c>
      <c r="B14" s="2">
        <v>0.48262738536537969</v>
      </c>
      <c r="C14" s="1">
        <f>MAX(alpha*C13+(1+alpha)/2*(B14-B13),0)</f>
        <v>3.7100769918396968E-2</v>
      </c>
      <c r="D14" s="1">
        <f t="shared" si="0"/>
        <v>0.44552661544698274</v>
      </c>
      <c r="E14" s="1">
        <f>MAX(alpha*E15+(1+alpha)/2*(D14-D15),0)</f>
        <v>0</v>
      </c>
      <c r="F14" s="1">
        <f t="shared" si="1"/>
        <v>0.44552661544698274</v>
      </c>
      <c r="G14" s="1">
        <f>MAX(alpha*G13+(1+alpha)/2*(F14-F13),0)</f>
        <v>2.5329100530023874E-3</v>
      </c>
      <c r="H14" s="1">
        <f t="shared" si="2"/>
        <v>0.44299370539398036</v>
      </c>
    </row>
    <row r="15" spans="1:16" x14ac:dyDescent="0.35">
      <c r="A15" s="4">
        <v>43849</v>
      </c>
      <c r="B15" s="2">
        <v>0.50869100133830136</v>
      </c>
      <c r="C15" s="1">
        <f>MAX(alpha*C14+(1+alpha)/2*(B15-B14),0)</f>
        <v>5.9404442548454311E-2</v>
      </c>
      <c r="D15" s="1">
        <f t="shared" si="0"/>
        <v>0.44928655878984702</v>
      </c>
      <c r="E15" s="1">
        <f>MAX(alpha*E16+(1+alpha)/2*(D15-D16),0)</f>
        <v>0</v>
      </c>
      <c r="F15" s="1">
        <f t="shared" si="1"/>
        <v>0.44928655878984702</v>
      </c>
      <c r="G15" s="1">
        <f>MAX(alpha*G14+(1+alpha)/2*(F15-F14),0)</f>
        <v>5.9618872665340786E-3</v>
      </c>
      <c r="H15" s="1">
        <f t="shared" si="2"/>
        <v>0.44332467152331295</v>
      </c>
    </row>
    <row r="16" spans="1:16" x14ac:dyDescent="0.35">
      <c r="A16" s="4">
        <v>43848</v>
      </c>
      <c r="B16" s="2">
        <v>0.56660801423874407</v>
      </c>
      <c r="C16" s="1">
        <f>MAX(alpha*C15+(1+alpha)/2*(B16-B15),0)</f>
        <v>0.11069423427399636</v>
      </c>
      <c r="D16" s="1">
        <f t="shared" si="0"/>
        <v>0.45591377996474769</v>
      </c>
      <c r="E16" s="1">
        <f>MAX(alpha*E17+(1+alpha)/2*(D16-D17),0)</f>
        <v>0</v>
      </c>
      <c r="F16" s="1">
        <f t="shared" si="1"/>
        <v>0.45591377996474769</v>
      </c>
      <c r="G16" s="1">
        <f>MAX(alpha*G15+(1+alpha)/2*(F16-F15),0)</f>
        <v>1.1893446102385914E-2</v>
      </c>
      <c r="H16" s="1">
        <f t="shared" si="2"/>
        <v>0.44402033386236178</v>
      </c>
    </row>
    <row r="17" spans="1:11" x14ac:dyDescent="0.35">
      <c r="A17" s="4">
        <v>43847</v>
      </c>
      <c r="B17" s="2">
        <v>0.58755296389431166</v>
      </c>
      <c r="C17" s="1">
        <f>MAX(alpha*C16+(1+alpha)/2*(B17-B16),0)</f>
        <v>0.12255168074693044</v>
      </c>
      <c r="D17" s="1">
        <f t="shared" si="0"/>
        <v>0.46500128314738121</v>
      </c>
      <c r="E17" s="1">
        <f>MAX(alpha*E18+(1+alpha)/2*(D17-D18),0)</f>
        <v>0</v>
      </c>
      <c r="F17" s="1">
        <f t="shared" si="1"/>
        <v>0.46500128314738121</v>
      </c>
      <c r="G17" s="1">
        <f>MAX(alpha*G16+(1+alpha)/2*(F17-F16),0)</f>
        <v>1.9748159457991729E-2</v>
      </c>
      <c r="H17" s="1">
        <f t="shared" si="2"/>
        <v>0.44525312368938946</v>
      </c>
    </row>
    <row r="18" spans="1:11" x14ac:dyDescent="0.35">
      <c r="A18" s="4">
        <v>43846</v>
      </c>
      <c r="B18" s="2">
        <v>0.66029716277081307</v>
      </c>
      <c r="C18" s="1">
        <f>MAX(alpha*C17+(1+alpha)/2*(B18-B17),0)</f>
        <v>0.18337659610954327</v>
      </c>
      <c r="D18" s="1">
        <f t="shared" si="0"/>
        <v>0.47692056666126981</v>
      </c>
      <c r="E18" s="1">
        <f>MAX(alpha*E19+(1+alpha)/2*(D18-D19),0)</f>
        <v>0</v>
      </c>
      <c r="F18" s="1">
        <f t="shared" si="1"/>
        <v>0.47692056666126981</v>
      </c>
      <c r="G18" s="1">
        <f>MAX(alpha*G17+(1+alpha)/2*(F18-F17),0)</f>
        <v>2.9739357880760132E-2</v>
      </c>
      <c r="H18" s="1">
        <f t="shared" si="2"/>
        <v>0.44718120878050965</v>
      </c>
    </row>
    <row r="19" spans="1:11" x14ac:dyDescent="0.35">
      <c r="A19" s="4">
        <v>43845</v>
      </c>
      <c r="B19" s="2">
        <v>0.75791870298967234</v>
      </c>
      <c r="C19" s="1">
        <f>MAX(alpha*C18+(1+alpha)/2*(B19-B18),0)</f>
        <v>0.26358408386197957</v>
      </c>
      <c r="D19" s="1">
        <f t="shared" si="0"/>
        <v>0.49433461912769278</v>
      </c>
      <c r="E19" s="1">
        <f>MAX(alpha*E20+(1+alpha)/2*(D19-D20),0)</f>
        <v>0</v>
      </c>
      <c r="F19" s="1">
        <f t="shared" si="1"/>
        <v>0.49433461912769278</v>
      </c>
      <c r="G19" s="1">
        <f>MAX(alpha*G18+(1+alpha)/2*(F19-F18),0)</f>
        <v>4.4269931538635232E-2</v>
      </c>
      <c r="H19" s="1">
        <f t="shared" si="2"/>
        <v>0.45006468758905754</v>
      </c>
    </row>
    <row r="20" spans="1:11" x14ac:dyDescent="0.35">
      <c r="A20" s="4">
        <v>43844</v>
      </c>
      <c r="B20" s="2">
        <v>0.77130368174585173</v>
      </c>
      <c r="C20" s="1">
        <f>MAX(alpha*C19+(1+alpha)/2*(B20-B19),0)</f>
        <v>0.25669831962515377</v>
      </c>
      <c r="D20" s="1">
        <f t="shared" si="0"/>
        <v>0.51460536212069796</v>
      </c>
      <c r="E20" s="1">
        <f>MAX(alpha*E21+(1+alpha)/2*(D20-D21),0)</f>
        <v>1.063244402180244E-2</v>
      </c>
      <c r="F20" s="1">
        <f t="shared" si="1"/>
        <v>0.50397291809889555</v>
      </c>
      <c r="G20" s="1">
        <f>MAX(alpha*G19+(1+alpha)/2*(F20-F19),0)</f>
        <v>5.0226549433020261E-2</v>
      </c>
      <c r="H20" s="1">
        <f t="shared" si="2"/>
        <v>0.45374636866587531</v>
      </c>
    </row>
    <row r="21" spans="1:11" x14ac:dyDescent="0.35">
      <c r="A21" s="4">
        <v>43843</v>
      </c>
      <c r="B21" s="2">
        <v>0.74486570379831163</v>
      </c>
      <c r="C21" s="1">
        <f>MAX(alpha*C20+(1+alpha)/2*(B21-B20),0)</f>
        <v>0.21199939187875988</v>
      </c>
      <c r="D21" s="1">
        <f t="shared" si="0"/>
        <v>0.5328663119195518</v>
      </c>
      <c r="E21" s="1">
        <f>MAX(alpha*E22+(1+alpha)/2*(D21-D22),0)</f>
        <v>3.049579265210731E-2</v>
      </c>
      <c r="F21" s="1">
        <f t="shared" si="1"/>
        <v>0.50237051926744447</v>
      </c>
      <c r="G21" s="1">
        <f>MAX(alpha*G20+(1+alpha)/2*(F21-F20),0)</f>
        <v>4.4917249350272075E-2</v>
      </c>
      <c r="H21" s="1">
        <f t="shared" si="2"/>
        <v>0.45745326991717239</v>
      </c>
    </row>
    <row r="22" spans="1:11" x14ac:dyDescent="0.35">
      <c r="A22" s="4">
        <v>43842</v>
      </c>
      <c r="B22" s="2">
        <v>0.8497202444446591</v>
      </c>
      <c r="C22" s="1">
        <f>MAX(alpha*C21+(1+alpha)/2*(B22-B21),0)</f>
        <v>0.29702193285996231</v>
      </c>
      <c r="D22" s="1">
        <f t="shared" si="0"/>
        <v>0.55269831158469684</v>
      </c>
      <c r="E22" s="1">
        <f>MAX(alpha*E23+(1+alpha)/2*(D22-D23),0)</f>
        <v>5.3604424140334499E-2</v>
      </c>
      <c r="F22" s="1">
        <f t="shared" si="1"/>
        <v>0.49909388744436234</v>
      </c>
      <c r="G22" s="1">
        <f>MAX(alpha*G21+(1+alpha)/2*(F22-F21),0)</f>
        <v>3.839469751928512E-2</v>
      </c>
      <c r="H22" s="1">
        <f t="shared" si="2"/>
        <v>0.46069918992507719</v>
      </c>
    </row>
    <row r="23" spans="1:11" x14ac:dyDescent="0.35">
      <c r="A23" s="4">
        <v>43841</v>
      </c>
      <c r="B23" s="2">
        <v>1.2133494323944498</v>
      </c>
      <c r="C23" s="1">
        <f>MAX(alpha*C22+(1+alpha)/2*(B23-B22),0)</f>
        <v>0.62473838129713877</v>
      </c>
      <c r="D23" s="1">
        <f t="shared" si="0"/>
        <v>0.58861105109731104</v>
      </c>
      <c r="E23" s="1">
        <f>MAX(alpha*E24+(1+alpha)/2*(D23-D24),0)</f>
        <v>9.5319390185108821E-2</v>
      </c>
      <c r="F23" s="1">
        <f t="shared" si="1"/>
        <v>0.49329166091220222</v>
      </c>
      <c r="G23" s="1">
        <f>MAX(alpha*G22+(1+alpha)/2*(F23-F22),0)</f>
        <v>2.9930452168134624E-2</v>
      </c>
      <c r="H23" s="1">
        <f t="shared" si="2"/>
        <v>0.46336120874406761</v>
      </c>
    </row>
    <row r="24" spans="1:11" x14ac:dyDescent="0.35">
      <c r="A24" s="4">
        <v>43840</v>
      </c>
      <c r="B24" s="2">
        <v>0.52930995477155551</v>
      </c>
      <c r="C24" s="1">
        <f>MAX(alpha*C23+(1+alpha)/2*(B24-B23),0)</f>
        <v>0</v>
      </c>
      <c r="D24" s="1">
        <f t="shared" si="0"/>
        <v>0.52930995477155551</v>
      </c>
      <c r="E24" s="1">
        <f>MAX(alpha*E25+(1+alpha)/2*(D24-D25),0)</f>
        <v>4.1342794563858511E-2</v>
      </c>
      <c r="F24" s="1">
        <f t="shared" si="1"/>
        <v>0.48796716020769698</v>
      </c>
      <c r="G24" s="1">
        <f>MAX(alpha*G23+(1+alpha)/2*(F24-F23),0)</f>
        <v>2.2560836327438234E-2</v>
      </c>
      <c r="H24" s="1">
        <f t="shared" si="2"/>
        <v>0.46540632388025877</v>
      </c>
      <c r="K24" s="43" t="s">
        <v>36</v>
      </c>
    </row>
    <row r="25" spans="1:11" x14ac:dyDescent="0.35">
      <c r="A25" s="4">
        <v>43839</v>
      </c>
      <c r="B25" s="2">
        <v>0.49229751778890579</v>
      </c>
      <c r="C25" s="1">
        <f>MAX(alpha*C24+(1+alpha)/2*(B25-B24),0)</f>
        <v>0</v>
      </c>
      <c r="D25" s="1">
        <f t="shared" si="0"/>
        <v>0.49229751778890579</v>
      </c>
      <c r="E25" s="1">
        <f>MAX(alpha*E26+(1+alpha)/2*(D25-D26),0)</f>
        <v>6.1819718573601608E-3</v>
      </c>
      <c r="F25" s="1">
        <f t="shared" si="1"/>
        <v>0.48611554593154566</v>
      </c>
      <c r="G25" s="1">
        <f>MAX(alpha*G24+(1+alpha)/2*(F25-F24),0)</f>
        <v>1.9086594862084718E-2</v>
      </c>
      <c r="H25" s="1">
        <f t="shared" si="2"/>
        <v>0.46702895106946096</v>
      </c>
    </row>
    <row r="26" spans="1:11" x14ac:dyDescent="0.35">
      <c r="A26" s="4">
        <v>43838</v>
      </c>
      <c r="B26" s="2">
        <v>0.48587468988515498</v>
      </c>
      <c r="C26" s="1">
        <f>MAX(alpha*C25+(1+alpha)/2*(B26-B25),0)</f>
        <v>0</v>
      </c>
      <c r="D26" s="1">
        <f t="shared" si="0"/>
        <v>0.48587468988515498</v>
      </c>
      <c r="E26" s="1">
        <f>MAX(alpha*E27+(1+alpha)/2*(D26-D27),0)</f>
        <v>0</v>
      </c>
      <c r="F26" s="1">
        <f t="shared" si="1"/>
        <v>0.48587468988515498</v>
      </c>
      <c r="G26" s="1">
        <f>MAX(alpha*G25+(1+alpha)/2*(F26-F25),0)</f>
        <v>1.7423276302777336E-2</v>
      </c>
      <c r="H26" s="1">
        <f t="shared" si="2"/>
        <v>0.46845141358237763</v>
      </c>
    </row>
    <row r="27" spans="1:11" x14ac:dyDescent="0.35">
      <c r="A27" s="4">
        <v>43837</v>
      </c>
      <c r="B27" s="2">
        <v>0.51330519507098094</v>
      </c>
      <c r="C27" s="1">
        <f>MAX(alpha*C26+(1+alpha)/2*(B27-B26),0)</f>
        <v>2.6401861241357488E-2</v>
      </c>
      <c r="D27" s="1">
        <f t="shared" si="0"/>
        <v>0.48690333382962347</v>
      </c>
      <c r="E27" s="1">
        <f>MAX(alpha*E28+(1+alpha)/2*(D27-D28),0)</f>
        <v>0</v>
      </c>
      <c r="F27" s="1">
        <f t="shared" si="1"/>
        <v>0.48690333382962347</v>
      </c>
      <c r="G27" s="1">
        <f>MAX(alpha*G26+(1+alpha)/2*(F27-F26),0)</f>
        <v>1.7106600376619964E-2</v>
      </c>
      <c r="H27" s="1">
        <f t="shared" si="2"/>
        <v>0.46979673345300349</v>
      </c>
    </row>
    <row r="28" spans="1:11" x14ac:dyDescent="0.35">
      <c r="A28" s="4">
        <v>43836</v>
      </c>
      <c r="B28" s="2">
        <v>0.55271423508932471</v>
      </c>
      <c r="C28" s="1">
        <f>MAX(alpha*C27+(1+alpha)/2*(B28-B27),0)</f>
        <v>6.2352922665911567E-2</v>
      </c>
      <c r="D28" s="1">
        <f t="shared" si="0"/>
        <v>0.49036131242341313</v>
      </c>
      <c r="E28" s="1">
        <f>MAX(alpha*E29+(1+alpha)/2*(D28-D29),0)</f>
        <v>0</v>
      </c>
      <c r="F28" s="1">
        <f t="shared" si="1"/>
        <v>0.49036131242341313</v>
      </c>
      <c r="G28" s="1">
        <f>MAX(alpha*G27+(1+alpha)/2*(F28-F27),0)</f>
        <v>1.9151909744896011E-2</v>
      </c>
      <c r="H28" s="1">
        <f t="shared" si="2"/>
        <v>0.47120940267851713</v>
      </c>
    </row>
    <row r="29" spans="1:11" x14ac:dyDescent="0.35">
      <c r="A29" s="4">
        <v>43835</v>
      </c>
      <c r="B29" s="2">
        <v>0.59288100271403366</v>
      </c>
      <c r="C29" s="1">
        <f>MAX(alpha*C28+(1+alpha)/2*(B29-B28),0)</f>
        <v>9.6336967304750554E-2</v>
      </c>
      <c r="D29" s="1">
        <f t="shared" si="0"/>
        <v>0.4965440354092831</v>
      </c>
      <c r="E29" s="1">
        <f>MAX(alpha*E30+(1+alpha)/2*(D29-D30),0)</f>
        <v>0</v>
      </c>
      <c r="F29" s="1">
        <f t="shared" si="1"/>
        <v>0.4965440354092831</v>
      </c>
      <c r="G29" s="1">
        <f>MAX(alpha*G28+(1+alpha)/2*(F29-F28),0)</f>
        <v>2.3666387387928658E-2</v>
      </c>
      <c r="H29" s="1">
        <f t="shared" si="2"/>
        <v>0.47287764802135446</v>
      </c>
    </row>
    <row r="30" spans="1:11" x14ac:dyDescent="0.35">
      <c r="A30" s="4">
        <v>43834</v>
      </c>
      <c r="B30" s="2">
        <v>0.66897464702433629</v>
      </c>
      <c r="C30" s="1">
        <f>MAX(alpha*C29+(1+alpha)/2*(B30-B29),0)</f>
        <v>0.16235182740556053</v>
      </c>
      <c r="D30" s="1">
        <f t="shared" si="0"/>
        <v>0.50662281961877575</v>
      </c>
      <c r="E30" s="1">
        <f>MAX(alpha*E31+(1+alpha)/2*(D30-D31),0)</f>
        <v>0</v>
      </c>
      <c r="F30" s="1">
        <f t="shared" si="1"/>
        <v>0.50662281961877575</v>
      </c>
      <c r="G30" s="1">
        <f>MAX(alpha*G29+(1+alpha)/2*(F30-F29),0)</f>
        <v>3.1592238135470685E-2</v>
      </c>
      <c r="H30" s="1">
        <f t="shared" si="2"/>
        <v>0.47503058148330507</v>
      </c>
    </row>
    <row r="31" spans="1:11" x14ac:dyDescent="0.35">
      <c r="A31" s="4">
        <v>43833</v>
      </c>
      <c r="B31" s="2">
        <v>0.76382291326053997</v>
      </c>
      <c r="C31" s="1">
        <f>MAX(alpha*C30+(1+alpha)/2*(B31-B30),0)</f>
        <v>0.24146689660248954</v>
      </c>
      <c r="D31" s="1">
        <f t="shared" si="0"/>
        <v>0.52235601665805043</v>
      </c>
      <c r="E31" s="1">
        <f>MAX(alpha*E32+(1+alpha)/2*(D31-D32),0)</f>
        <v>0</v>
      </c>
      <c r="F31" s="1">
        <f t="shared" si="1"/>
        <v>0.52235601665805043</v>
      </c>
      <c r="G31" s="1">
        <f>MAX(alpha*G30+(1+alpha)/2*(F31-F30),0)</f>
        <v>4.4366022425612259E-2</v>
      </c>
      <c r="H31" s="1">
        <f t="shared" si="2"/>
        <v>0.47798999423243815</v>
      </c>
    </row>
    <row r="32" spans="1:11" x14ac:dyDescent="0.35">
      <c r="A32" s="4">
        <v>43832</v>
      </c>
      <c r="B32" s="2">
        <v>0.81849060081804437</v>
      </c>
      <c r="C32" s="1">
        <f>MAX(alpha*C31+(1+alpha)/2*(B32-B31),0)</f>
        <v>0.27597452863140082</v>
      </c>
      <c r="D32" s="1">
        <f t="shared" si="0"/>
        <v>0.54251607218664355</v>
      </c>
      <c r="E32" s="1">
        <f>MAX(alpha*E33+(1+alpha)/2*(D32-D33),0)</f>
        <v>1.7980227349233938E-2</v>
      </c>
      <c r="F32" s="1">
        <f t="shared" si="1"/>
        <v>0.52453584483740956</v>
      </c>
      <c r="G32" s="1">
        <f>MAX(alpha*G31+(1+alpha)/2*(F32-F31),0)</f>
        <v>4.3136655366324508E-2</v>
      </c>
      <c r="H32" s="1">
        <f t="shared" si="2"/>
        <v>0.48139918947108506</v>
      </c>
    </row>
    <row r="33" spans="1:8" x14ac:dyDescent="0.35">
      <c r="A33" s="3">
        <v>43831</v>
      </c>
      <c r="B33" s="1">
        <v>0.85192535760595789</v>
      </c>
      <c r="C33" s="1">
        <f>MAX(alpha*C32+(1+alpha)/2*(B33-B32),0)</f>
        <v>0.28745739239241253</v>
      </c>
      <c r="D33" s="1">
        <f t="shared" si="0"/>
        <v>0.56446796521354536</v>
      </c>
      <c r="E33" s="1">
        <f>MAX(alpha*E34+(1+alpha)/2*(D33-D34),0)</f>
        <v>4.2279918256893978E-2</v>
      </c>
      <c r="F33" s="1">
        <f t="shared" si="1"/>
        <v>0.52218804695665133</v>
      </c>
      <c r="G33" s="1">
        <f>MAX(alpha*G32+(1+alpha)/2*(F33-F32),0)</f>
        <v>3.764165075362038E-2</v>
      </c>
      <c r="H33" s="1">
        <f t="shared" si="2"/>
        <v>0.48454639620303097</v>
      </c>
    </row>
    <row r="34" spans="1:8" x14ac:dyDescent="0.35">
      <c r="A34" s="3">
        <f>A33+1</f>
        <v>43832</v>
      </c>
      <c r="B34" s="1">
        <v>0.81849060081804437</v>
      </c>
      <c r="C34" s="1">
        <f>MAX(alpha*C33+(1+alpha)/2*(B34-B33),0)</f>
        <v>0.23371713455461482</v>
      </c>
      <c r="D34" s="1">
        <f t="shared" si="0"/>
        <v>0.58477346626342952</v>
      </c>
      <c r="E34" s="1">
        <f>MAX(alpha*E35+(1+alpha)/2*(D34-D35),0)</f>
        <v>6.683671677557565E-2</v>
      </c>
      <c r="F34" s="1">
        <f t="shared" si="1"/>
        <v>0.51793674948785384</v>
      </c>
      <c r="G34" s="1">
        <f>MAX(alpha*G33+(1+alpha)/2*(F34-F33),0)</f>
        <v>3.0726653133381271E-2</v>
      </c>
      <c r="H34" s="1">
        <f t="shared" si="2"/>
        <v>0.48721009635447254</v>
      </c>
    </row>
    <row r="35" spans="1:8" x14ac:dyDescent="0.35">
      <c r="A35" s="3">
        <f t="shared" ref="A35:A98" si="3">A34+1</f>
        <v>43833</v>
      </c>
      <c r="B35" s="1">
        <v>0.76382291326053997</v>
      </c>
      <c r="C35" s="1">
        <f>MAX(alpha*C34+(1+alpha)/2*(B35-B34),0)</f>
        <v>0.16357070018892073</v>
      </c>
      <c r="D35" s="1">
        <f t="shared" si="0"/>
        <v>0.60025221307161924</v>
      </c>
      <c r="E35" s="1">
        <f>MAX(alpha*E36+(1+alpha)/2*(D35-D36),0)</f>
        <v>8.836217359833326E-2</v>
      </c>
      <c r="F35" s="1">
        <f t="shared" si="1"/>
        <v>0.51189003947328593</v>
      </c>
      <c r="G35" s="1">
        <f>MAX(alpha*G34+(1+alpha)/2*(F35-F34),0)</f>
        <v>2.2602195759356059E-2</v>
      </c>
      <c r="H35" s="1">
        <f t="shared" si="2"/>
        <v>0.48928784371392986</v>
      </c>
    </row>
    <row r="36" spans="1:8" x14ac:dyDescent="0.35">
      <c r="A36" s="3">
        <f t="shared" si="3"/>
        <v>43834</v>
      </c>
      <c r="B36" s="1">
        <v>0.66897464702433629</v>
      </c>
      <c r="C36" s="1">
        <f>MAX(alpha*C35+(1+alpha)/2*(B36-B35),0)</f>
        <v>6.0011441422405651E-2</v>
      </c>
      <c r="D36" s="1">
        <f t="shared" si="0"/>
        <v>0.60896320560193062</v>
      </c>
      <c r="E36" s="1">
        <f>MAX(alpha*E37+(1+alpha)/2*(D36-D37),0)</f>
        <v>0.10459081503649509</v>
      </c>
      <c r="F36" s="1">
        <f t="shared" si="1"/>
        <v>0.50437239056543559</v>
      </c>
      <c r="G36" s="1">
        <f>MAX(alpha*G35+(1+alpha)/2*(F36-F35),0)</f>
        <v>1.3671294003598407E-2</v>
      </c>
      <c r="H36" s="1">
        <f t="shared" si="2"/>
        <v>0.49070109656183719</v>
      </c>
    </row>
    <row r="37" spans="1:8" x14ac:dyDescent="0.35">
      <c r="A37" s="3">
        <f t="shared" si="3"/>
        <v>43835</v>
      </c>
      <c r="B37" s="1">
        <v>0.59288100271403366</v>
      </c>
      <c r="C37" s="1">
        <f>MAX(alpha*C36+(1+alpha)/2*(B37-B36),0)</f>
        <v>0</v>
      </c>
      <c r="D37" s="1">
        <f t="shared" si="0"/>
        <v>0.59288100271403366</v>
      </c>
      <c r="E37" s="1">
        <f>MAX(alpha*E38+(1+alpha)/2*(D37-D38),0)</f>
        <v>9.6336967304750554E-2</v>
      </c>
      <c r="F37" s="1">
        <f t="shared" si="1"/>
        <v>0.4965440354092831</v>
      </c>
      <c r="G37" s="1">
        <f>MAX(alpha*G36+(1+alpha)/2*(F37-F36),0)</f>
        <v>5.1111551155317561E-3</v>
      </c>
      <c r="H37" s="1">
        <f t="shared" si="2"/>
        <v>0.49143288029375137</v>
      </c>
    </row>
    <row r="38" spans="1:8" x14ac:dyDescent="0.35">
      <c r="A38" s="3">
        <f t="shared" si="3"/>
        <v>43836</v>
      </c>
      <c r="B38" s="1">
        <v>0.55271423508932471</v>
      </c>
      <c r="C38" s="1">
        <f>MAX(alpha*C37+(1+alpha)/2*(B38-B37),0)</f>
        <v>0</v>
      </c>
      <c r="D38" s="1">
        <f t="shared" si="0"/>
        <v>0.55271423508932471</v>
      </c>
      <c r="E38" s="1">
        <f>MAX(alpha*E39+(1+alpha)/2*(D38-D39),0)</f>
        <v>6.2352922665911567E-2</v>
      </c>
      <c r="F38" s="1">
        <f t="shared" si="1"/>
        <v>0.49036131242341313</v>
      </c>
      <c r="G38" s="1">
        <f>MAX(alpha*G37+(1+alpha)/2*(F38-F37),0)</f>
        <v>0</v>
      </c>
      <c r="H38" s="1">
        <f t="shared" si="2"/>
        <v>0.49036131242341313</v>
      </c>
    </row>
    <row r="39" spans="1:8" x14ac:dyDescent="0.35">
      <c r="A39" s="3">
        <f t="shared" si="3"/>
        <v>43837</v>
      </c>
      <c r="B39" s="1">
        <v>0.51330519507098094</v>
      </c>
      <c r="C39" s="1">
        <f>MAX(alpha*C38+(1+alpha)/2*(B39-B38),0)</f>
        <v>0</v>
      </c>
      <c r="D39" s="1">
        <f t="shared" si="0"/>
        <v>0.51330519507098094</v>
      </c>
      <c r="E39" s="1">
        <f>MAX(alpha*E40+(1+alpha)/2*(D39-D40),0)</f>
        <v>2.6401861241357488E-2</v>
      </c>
      <c r="F39" s="1">
        <f t="shared" si="1"/>
        <v>0.48690333382962347</v>
      </c>
      <c r="G39" s="1">
        <f>MAX(alpha*G38+(1+alpha)/2*(F39-F38),0)</f>
        <v>0</v>
      </c>
      <c r="H39" s="1">
        <f t="shared" si="2"/>
        <v>0.48690333382962347</v>
      </c>
    </row>
    <row r="40" spans="1:8" x14ac:dyDescent="0.35">
      <c r="A40" s="3">
        <f t="shared" si="3"/>
        <v>43838</v>
      </c>
      <c r="B40" s="1">
        <v>0.48587468988515498</v>
      </c>
      <c r="C40" s="1">
        <f>MAX(alpha*C39+(1+alpha)/2*(B40-B39),0)</f>
        <v>0</v>
      </c>
      <c r="D40" s="1">
        <f t="shared" si="0"/>
        <v>0.48587468988515498</v>
      </c>
      <c r="E40" s="1">
        <f>MAX(alpha*E41+(1+alpha)/2*(D40-D41),0)</f>
        <v>0</v>
      </c>
      <c r="F40" s="1">
        <f t="shared" si="1"/>
        <v>0.48587468988515498</v>
      </c>
      <c r="G40" s="1">
        <f>MAX(alpha*G39+(1+alpha)/2*(F40-F39),0)</f>
        <v>0</v>
      </c>
      <c r="H40" s="1">
        <f t="shared" si="2"/>
        <v>0.48587468988515498</v>
      </c>
    </row>
    <row r="41" spans="1:8" x14ac:dyDescent="0.35">
      <c r="A41" s="3">
        <f t="shared" si="3"/>
        <v>43839</v>
      </c>
      <c r="B41" s="1">
        <v>0.49229751778890579</v>
      </c>
      <c r="C41" s="1">
        <f>MAX(alpha*C40+(1+alpha)/2*(B41-B40),0)</f>
        <v>6.1819718573601608E-3</v>
      </c>
      <c r="D41" s="1">
        <f t="shared" si="0"/>
        <v>0.48611554593154566</v>
      </c>
      <c r="E41" s="1">
        <f>MAX(alpha*E42+(1+alpha)/2*(D41-D42),0)</f>
        <v>0</v>
      </c>
      <c r="F41" s="1">
        <f t="shared" si="1"/>
        <v>0.48611554593154566</v>
      </c>
      <c r="G41" s="1">
        <f>MAX(alpha*G40+(1+alpha)/2*(F41-F40),0)</f>
        <v>2.3182394465103007E-4</v>
      </c>
      <c r="H41" s="1">
        <f t="shared" si="2"/>
        <v>0.48588372198689461</v>
      </c>
    </row>
    <row r="42" spans="1:8" x14ac:dyDescent="0.35">
      <c r="A42" s="3">
        <f t="shared" si="3"/>
        <v>43840</v>
      </c>
      <c r="B42" s="1">
        <v>0.52930995477155551</v>
      </c>
      <c r="C42" s="1">
        <f>MAX(alpha*C41+(1+alpha)/2*(B42-B41),0)</f>
        <v>4.1342794563858511E-2</v>
      </c>
      <c r="D42" s="1">
        <f t="shared" si="0"/>
        <v>0.48796716020769698</v>
      </c>
      <c r="E42" s="1">
        <f>MAX(alpha*E43+(1+alpha)/2*(D42-D43),0)</f>
        <v>0</v>
      </c>
      <c r="F42" s="1">
        <f t="shared" si="1"/>
        <v>0.48796716020769698</v>
      </c>
      <c r="G42" s="1">
        <f>MAX(alpha*G41+(1+alpha)/2*(F42-F41),0)</f>
        <v>1.9966158895978539E-3</v>
      </c>
      <c r="H42" s="1">
        <f t="shared" si="2"/>
        <v>0.48597054431809911</v>
      </c>
    </row>
    <row r="43" spans="1:8" x14ac:dyDescent="0.35">
      <c r="A43" s="3">
        <f t="shared" si="3"/>
        <v>43841</v>
      </c>
      <c r="B43" s="1">
        <v>1.2133494323944498</v>
      </c>
      <c r="C43" s="1">
        <f>MAX(alpha*C42+(1+alpha)/2*(B43-B42),0)</f>
        <v>0.69663008218360489</v>
      </c>
      <c r="D43" s="1">
        <f t="shared" si="0"/>
        <v>0.51671935021084492</v>
      </c>
      <c r="E43" s="1">
        <f>MAX(alpha*E44+(1+alpha)/2*(D43-D44),0)</f>
        <v>1.000177241197852E-2</v>
      </c>
      <c r="F43" s="1">
        <f t="shared" si="1"/>
        <v>0.50671757779886639</v>
      </c>
      <c r="G43" s="1">
        <f>MAX(alpha*G42+(1+alpha)/2*(F43-F42),0)</f>
        <v>1.9894146629378572E-2</v>
      </c>
      <c r="H43" s="1">
        <f t="shared" si="2"/>
        <v>0.48682343116948784</v>
      </c>
    </row>
    <row r="44" spans="1:8" x14ac:dyDescent="0.35">
      <c r="A44" s="3">
        <f t="shared" si="3"/>
        <v>43842</v>
      </c>
      <c r="B44" s="1">
        <v>0.8497202444446591</v>
      </c>
      <c r="C44" s="1">
        <f>MAX(alpha*C43+(1+alpha)/2*(B44-B43),0)</f>
        <v>0.29438973261816098</v>
      </c>
      <c r="D44" s="1">
        <f t="shared" si="0"/>
        <v>0.55533051182649817</v>
      </c>
      <c r="E44" s="1">
        <f>MAX(alpha*E45+(1+alpha)/2*(D44-D45),0)</f>
        <v>5.0989205910318684E-2</v>
      </c>
      <c r="F44" s="1">
        <f t="shared" si="1"/>
        <v>0.50434130591617954</v>
      </c>
      <c r="G44" s="1">
        <f>MAX(alpha*G43+(1+alpha)/2*(F44-F43),0)</f>
        <v>1.6114923945089083E-2</v>
      </c>
      <c r="H44" s="1">
        <f t="shared" si="2"/>
        <v>0.48822638197109047</v>
      </c>
    </row>
    <row r="45" spans="1:8" x14ac:dyDescent="0.35">
      <c r="A45" s="3">
        <f t="shared" si="3"/>
        <v>43843</v>
      </c>
      <c r="B45" s="1">
        <v>0.74486570379831163</v>
      </c>
      <c r="C45" s="1">
        <f>MAX(alpha*C44+(1+alpha)/2*(B45-B44),0)</f>
        <v>0.17138800729968945</v>
      </c>
      <c r="D45" s="1">
        <f t="shared" si="0"/>
        <v>0.57347769649862212</v>
      </c>
      <c r="E45" s="1">
        <f>MAX(alpha*E46+(1+alpha)/2*(D45-D46),0)</f>
        <v>7.400634719701403E-2</v>
      </c>
      <c r="F45" s="1">
        <f t="shared" si="1"/>
        <v>0.49947134930160808</v>
      </c>
      <c r="G45" s="1">
        <f>MAX(alpha*G44+(1+alpha)/2*(F45-F44),0)</f>
        <v>1.0218971407682374E-2</v>
      </c>
      <c r="H45" s="1">
        <f t="shared" si="2"/>
        <v>0.48925237789392573</v>
      </c>
    </row>
    <row r="46" spans="1:8" x14ac:dyDescent="0.35">
      <c r="A46" s="3">
        <f t="shared" si="3"/>
        <v>43844</v>
      </c>
      <c r="B46" s="1">
        <v>0.77130368174585173</v>
      </c>
      <c r="C46" s="1">
        <f>MAX(alpha*C45+(1+alpha)/2*(B46-B45),0)</f>
        <v>0.1839804605267201</v>
      </c>
      <c r="D46" s="1">
        <f t="shared" si="0"/>
        <v>0.58732322121913161</v>
      </c>
      <c r="E46" s="1">
        <f>MAX(alpha*E47+(1+alpha)/2*(D46-D47),0)</f>
        <v>9.4413691611356113E-2</v>
      </c>
      <c r="F46" s="1">
        <f t="shared" si="1"/>
        <v>0.49290952960777551</v>
      </c>
      <c r="G46" s="1">
        <f>MAX(alpha*G45+(1+alpha)/2*(F46-F45),0)</f>
        <v>3.1367970967923478E-3</v>
      </c>
      <c r="H46" s="1">
        <f t="shared" si="2"/>
        <v>0.48977273251098319</v>
      </c>
    </row>
    <row r="47" spans="1:8" x14ac:dyDescent="0.35">
      <c r="A47" s="3">
        <f t="shared" si="3"/>
        <v>43845</v>
      </c>
      <c r="B47" s="1">
        <v>0.75791870298967234</v>
      </c>
      <c r="C47" s="1">
        <f>MAX(alpha*C46+(1+alpha)/2*(B47-B46),0)</f>
        <v>0.15729888393439342</v>
      </c>
      <c r="D47" s="1">
        <f t="shared" si="0"/>
        <v>0.60061981905527895</v>
      </c>
      <c r="E47" s="1">
        <f>MAX(alpha*E48+(1+alpha)/2*(D47-D48),0)</f>
        <v>0.11590450489583559</v>
      </c>
      <c r="F47" s="1">
        <f t="shared" si="1"/>
        <v>0.48471531415944336</v>
      </c>
      <c r="G47" s="1">
        <f>MAX(alpha*G46+(1+alpha)/2*(F47-F46),0)</f>
        <v>0</v>
      </c>
      <c r="H47" s="1">
        <f t="shared" si="2"/>
        <v>0.48471531415944336</v>
      </c>
    </row>
    <row r="48" spans="1:8" x14ac:dyDescent="0.35">
      <c r="A48" s="3">
        <f t="shared" si="3"/>
        <v>43846</v>
      </c>
      <c r="B48" s="1">
        <v>0.66029716277081307</v>
      </c>
      <c r="C48" s="1">
        <f>MAX(alpha*C47+(1+alpha)/2*(B48-B47),0)</f>
        <v>5.1540735178661881E-2</v>
      </c>
      <c r="D48" s="1">
        <f t="shared" si="0"/>
        <v>0.60875642759215121</v>
      </c>
      <c r="E48" s="1">
        <f>MAX(alpha*E49+(1+alpha)/2*(D48-D49),0)</f>
        <v>0.13376863850008122</v>
      </c>
      <c r="F48" s="1">
        <f t="shared" si="1"/>
        <v>0.47498778909206996</v>
      </c>
      <c r="G48" s="1">
        <f>MAX(alpha*G47+(1+alpha)/2*(F48-F47),0)</f>
        <v>0</v>
      </c>
      <c r="H48" s="1">
        <f t="shared" si="2"/>
        <v>0.47498778909206996</v>
      </c>
    </row>
    <row r="49" spans="1:8" x14ac:dyDescent="0.35">
      <c r="A49" s="3">
        <f t="shared" si="3"/>
        <v>43847</v>
      </c>
      <c r="B49" s="1">
        <v>0.58755296389431166</v>
      </c>
      <c r="C49" s="1">
        <f>MAX(alpha*C48+(1+alpha)/2*(B49-B48),0)</f>
        <v>0</v>
      </c>
      <c r="D49" s="1">
        <f t="shared" si="0"/>
        <v>0.58755296389431166</v>
      </c>
      <c r="E49" s="1">
        <f>MAX(alpha*E50+(1+alpha)/2*(D49-D50),0)</f>
        <v>0.12255168074693044</v>
      </c>
      <c r="F49" s="1">
        <f t="shared" si="1"/>
        <v>0.46500128314738121</v>
      </c>
      <c r="G49" s="1">
        <f>MAX(alpha*G48+(1+alpha)/2*(F49-F48),0)</f>
        <v>0</v>
      </c>
      <c r="H49" s="1">
        <f t="shared" si="2"/>
        <v>0.46500128314738121</v>
      </c>
    </row>
    <row r="50" spans="1:8" x14ac:dyDescent="0.35">
      <c r="A50" s="3">
        <f t="shared" si="3"/>
        <v>43848</v>
      </c>
      <c r="B50" s="1">
        <v>0.56660801423874407</v>
      </c>
      <c r="C50" s="1">
        <f>MAX(alpha*C49+(1+alpha)/2*(B50-B49),0)</f>
        <v>0</v>
      </c>
      <c r="D50" s="1">
        <f t="shared" si="0"/>
        <v>0.56660801423874407</v>
      </c>
      <c r="E50" s="1">
        <f>MAX(alpha*E51+(1+alpha)/2*(D50-D51),0)</f>
        <v>0.11069423427399636</v>
      </c>
      <c r="F50" s="1">
        <f t="shared" si="1"/>
        <v>0.45591377996474769</v>
      </c>
      <c r="G50" s="1">
        <f>MAX(alpha*G49+(1+alpha)/2*(F50-F49),0)</f>
        <v>0</v>
      </c>
      <c r="H50" s="1">
        <f t="shared" si="2"/>
        <v>0.45591377996474769</v>
      </c>
    </row>
    <row r="51" spans="1:8" x14ac:dyDescent="0.35">
      <c r="A51" s="3">
        <f t="shared" si="3"/>
        <v>43849</v>
      </c>
      <c r="B51" s="1">
        <v>0.50869100133830136</v>
      </c>
      <c r="C51" s="1">
        <f>MAX(alpha*C50+(1+alpha)/2*(B51-B50),0)</f>
        <v>0</v>
      </c>
      <c r="D51" s="1">
        <f t="shared" si="0"/>
        <v>0.50869100133830136</v>
      </c>
      <c r="E51" s="1">
        <f>MAX(alpha*E52+(1+alpha)/2*(D51-D52),0)</f>
        <v>5.9404442548454311E-2</v>
      </c>
      <c r="F51" s="1">
        <f t="shared" si="1"/>
        <v>0.44928655878984702</v>
      </c>
      <c r="G51" s="1">
        <f>MAX(alpha*G50+(1+alpha)/2*(F51-F50),0)</f>
        <v>0</v>
      </c>
      <c r="H51" s="1">
        <f t="shared" si="2"/>
        <v>0.44928655878984702</v>
      </c>
    </row>
    <row r="52" spans="1:8" x14ac:dyDescent="0.35">
      <c r="A52" s="3">
        <f t="shared" si="3"/>
        <v>43850</v>
      </c>
      <c r="B52" s="1">
        <v>0.48262738536537969</v>
      </c>
      <c r="C52" s="1">
        <f>MAX(alpha*C51+(1+alpha)/2*(B52-B51),0)</f>
        <v>0</v>
      </c>
      <c r="D52" s="1">
        <f t="shared" si="0"/>
        <v>0.48262738536537969</v>
      </c>
      <c r="E52" s="1">
        <f>MAX(alpha*E53+(1+alpha)/2*(D52-D53),0)</f>
        <v>3.7100769918396968E-2</v>
      </c>
      <c r="F52" s="1">
        <f t="shared" si="1"/>
        <v>0.44552661544698274</v>
      </c>
      <c r="G52" s="1">
        <f>MAX(alpha*G51+(1+alpha)/2*(F52-F51),0)</f>
        <v>0</v>
      </c>
      <c r="H52" s="1">
        <f t="shared" si="2"/>
        <v>0.44552661544698274</v>
      </c>
    </row>
    <row r="53" spans="1:8" x14ac:dyDescent="0.35">
      <c r="A53" s="3">
        <f t="shared" si="3"/>
        <v>43851</v>
      </c>
      <c r="B53" s="1">
        <v>0.45927977394038505</v>
      </c>
      <c r="C53" s="1">
        <f>MAX(alpha*C52+(1+alpha)/2*(B53-B52),0)</f>
        <v>0</v>
      </c>
      <c r="D53" s="1">
        <f t="shared" si="0"/>
        <v>0.45927977394038505</v>
      </c>
      <c r="E53" s="1">
        <f>MAX(alpha*E54+(1+alpha)/2*(D53-D54),0)</f>
        <v>1.5814804239826622E-2</v>
      </c>
      <c r="F53" s="1">
        <f t="shared" si="1"/>
        <v>0.44346496970055843</v>
      </c>
      <c r="G53" s="1">
        <f>MAX(alpha*G52+(1+alpha)/2*(F53-F52),0)</f>
        <v>0</v>
      </c>
      <c r="H53" s="1">
        <f t="shared" si="2"/>
        <v>0.44346496970055843</v>
      </c>
    </row>
    <row r="54" spans="1:8" x14ac:dyDescent="0.35">
      <c r="A54" s="3">
        <f t="shared" si="3"/>
        <v>43852</v>
      </c>
      <c r="B54" s="1">
        <v>0.44284880849640934</v>
      </c>
      <c r="C54" s="1">
        <f>MAX(alpha*C53+(1+alpha)/2*(B54-B53),0)</f>
        <v>0</v>
      </c>
      <c r="D54" s="1">
        <f t="shared" si="0"/>
        <v>0.44284880849640934</v>
      </c>
      <c r="E54" s="1">
        <f>MAX(alpha*E55+(1+alpha)/2*(D54-D55),0)</f>
        <v>0</v>
      </c>
      <c r="F54" s="1">
        <f t="shared" si="1"/>
        <v>0.44284880849640934</v>
      </c>
      <c r="G54" s="1">
        <f>MAX(alpha*G53+(1+alpha)/2*(F54-F53),0)</f>
        <v>0</v>
      </c>
      <c r="H54" s="1">
        <f t="shared" si="2"/>
        <v>0.44284880849640934</v>
      </c>
    </row>
    <row r="55" spans="1:8" x14ac:dyDescent="0.35">
      <c r="A55" s="3">
        <f t="shared" si="3"/>
        <v>43853</v>
      </c>
      <c r="B55" s="1">
        <v>0.46738558510500189</v>
      </c>
      <c r="C55" s="1">
        <f>MAX(alpha*C54+(1+alpha)/2*(B55-B54),0)</f>
        <v>2.3616647485770328E-2</v>
      </c>
      <c r="D55" s="1">
        <f t="shared" si="0"/>
        <v>0.44376893761923158</v>
      </c>
      <c r="E55" s="1">
        <f>MAX(alpha*E56+(1+alpha)/2*(D55-D56),0)</f>
        <v>0</v>
      </c>
      <c r="F55" s="1">
        <f t="shared" si="1"/>
        <v>0.44376893761923158</v>
      </c>
      <c r="G55" s="1">
        <f>MAX(alpha*G54+(1+alpha)/2*(F55-F54),0)</f>
        <v>8.8562428071640997E-4</v>
      </c>
      <c r="H55" s="1">
        <f t="shared" si="2"/>
        <v>0.44288331333851516</v>
      </c>
    </row>
    <row r="56" spans="1:8" x14ac:dyDescent="0.35">
      <c r="A56" s="3">
        <f t="shared" si="3"/>
        <v>43854</v>
      </c>
      <c r="B56" s="1">
        <v>0.76050112180332452</v>
      </c>
      <c r="C56" s="1">
        <f>MAX(alpha*C55+(1+alpha)/2*(B56-B55),0)</f>
        <v>0.30396910299647312</v>
      </c>
      <c r="D56" s="1">
        <f t="shared" si="0"/>
        <v>0.4565320188068514</v>
      </c>
      <c r="E56" s="1">
        <f>MAX(alpha*E57+(1+alpha)/2*(D56-D57),0)</f>
        <v>0</v>
      </c>
      <c r="F56" s="1">
        <f t="shared" si="1"/>
        <v>0.4565320188068514</v>
      </c>
      <c r="G56" s="1">
        <f>MAX(alpha*G55+(1+alpha)/2*(F56-F55),0)</f>
        <v>1.3103668102746754E-2</v>
      </c>
      <c r="H56" s="1">
        <f t="shared" si="2"/>
        <v>0.44342835070410463</v>
      </c>
    </row>
    <row r="57" spans="1:8" x14ac:dyDescent="0.35">
      <c r="A57" s="3">
        <f t="shared" si="3"/>
        <v>43855</v>
      </c>
      <c r="B57" s="1">
        <v>0.87360986370156335</v>
      </c>
      <c r="C57" s="1">
        <f>MAX(alpha*C56+(1+alpha)/2*(B57-B56),0)</f>
        <v>0.39003858434879252</v>
      </c>
      <c r="D57" s="1">
        <f t="shared" si="0"/>
        <v>0.48357127935277083</v>
      </c>
      <c r="E57" s="1">
        <f>MAX(alpha*E58+(1+alpha)/2*(D57-D58),0)</f>
        <v>0</v>
      </c>
      <c r="F57" s="1">
        <f t="shared" si="1"/>
        <v>0.48357127935277083</v>
      </c>
      <c r="G57" s="1">
        <f>MAX(alpha*G56+(1+alpha)/2*(F57-F56),0)</f>
        <v>3.8146181270488203E-2</v>
      </c>
      <c r="H57" s="1">
        <f t="shared" si="2"/>
        <v>0.44542509808228264</v>
      </c>
    </row>
    <row r="58" spans="1:8" x14ac:dyDescent="0.35">
      <c r="A58" s="3">
        <f t="shared" si="3"/>
        <v>43856</v>
      </c>
      <c r="B58" s="1">
        <v>0.86305789450232784</v>
      </c>
      <c r="C58" s="1">
        <f>MAX(alpha*C57+(1+alpha)/2*(B58-B57),0)</f>
        <v>0.3506294201683689</v>
      </c>
      <c r="D58" s="1">
        <f t="shared" si="0"/>
        <v>0.51242847433395888</v>
      </c>
      <c r="E58" s="1">
        <f>MAX(alpha*E59+(1+alpha)/2*(D58-D59),0)</f>
        <v>0</v>
      </c>
      <c r="F58" s="1">
        <f t="shared" si="1"/>
        <v>0.51242847433395888</v>
      </c>
      <c r="G58" s="1">
        <f>MAX(alpha*G57+(1+alpha)/2*(F58-F57),0)</f>
        <v>6.3060267844595091E-2</v>
      </c>
      <c r="H58" s="1">
        <f t="shared" si="2"/>
        <v>0.44936820648936382</v>
      </c>
    </row>
    <row r="59" spans="1:8" x14ac:dyDescent="0.35">
      <c r="A59" s="3">
        <f t="shared" si="3"/>
        <v>43857</v>
      </c>
      <c r="B59" s="1">
        <v>0.78415227691585165</v>
      </c>
      <c r="C59" s="1">
        <f>MAX(alpha*C58+(1+alpha)/2*(B59-B58),0)</f>
        <v>0.24838555672875795</v>
      </c>
      <c r="D59" s="1">
        <f t="shared" si="0"/>
        <v>0.5357667201870937</v>
      </c>
      <c r="E59" s="1">
        <f>MAX(alpha*E60+(1+alpha)/2*(D59-D60),0)</f>
        <v>0</v>
      </c>
      <c r="F59" s="1">
        <f t="shared" si="1"/>
        <v>0.5357667201870937</v>
      </c>
      <c r="G59" s="1">
        <f>MAX(alpha*G58+(1+alpha)/2*(F59-F58),0)</f>
        <v>8.0793809389892723E-2</v>
      </c>
      <c r="H59" s="1">
        <f t="shared" si="2"/>
        <v>0.45497291079720098</v>
      </c>
    </row>
    <row r="60" spans="1:8" x14ac:dyDescent="0.35">
      <c r="A60" s="3">
        <f t="shared" si="3"/>
        <v>43858</v>
      </c>
      <c r="B60" s="1">
        <v>0.70436871118050226</v>
      </c>
      <c r="C60" s="1">
        <f>MAX(alpha*C59+(1+alpha)/2*(B60-B59),0)</f>
        <v>0.15296495795382731</v>
      </c>
      <c r="D60" s="1">
        <f t="shared" si="0"/>
        <v>0.5514037532266749</v>
      </c>
      <c r="E60" s="1">
        <f>MAX(alpha*E61+(1+alpha)/2*(D60-D61),0)</f>
        <v>3.468277832200807E-3</v>
      </c>
      <c r="F60" s="1">
        <f t="shared" si="1"/>
        <v>0.54793547539447407</v>
      </c>
      <c r="G60" s="1">
        <f>MAX(alpha*G59+(1+alpha)/2*(F60-F59),0)</f>
        <v>8.6446700572754373E-2</v>
      </c>
      <c r="H60" s="1">
        <f t="shared" si="2"/>
        <v>0.46148877482171968</v>
      </c>
    </row>
    <row r="61" spans="1:8" x14ac:dyDescent="0.35">
      <c r="A61" s="3">
        <f t="shared" si="3"/>
        <v>43859</v>
      </c>
      <c r="B61" s="1">
        <v>0.64696564994048178</v>
      </c>
      <c r="C61" s="1">
        <f>MAX(alpha*C60+(1+alpha)/2*(B61-B60),0)</f>
        <v>8.6242139663770548E-2</v>
      </c>
      <c r="D61" s="1">
        <f t="shared" si="0"/>
        <v>0.56072351027671119</v>
      </c>
      <c r="E61" s="1">
        <f>MAX(alpha*E62+(1+alpha)/2*(D61-D62),0)</f>
        <v>1.3447074586876474E-2</v>
      </c>
      <c r="F61" s="1">
        <f t="shared" si="1"/>
        <v>0.54727643568983475</v>
      </c>
      <c r="G61" s="1">
        <f>MAX(alpha*G60+(1+alpha)/2*(F61-F60),0)</f>
        <v>7.9328872314082463E-2</v>
      </c>
      <c r="H61" s="1">
        <f t="shared" si="2"/>
        <v>0.46794756337575227</v>
      </c>
    </row>
    <row r="62" spans="1:8" x14ac:dyDescent="0.35">
      <c r="A62" s="3">
        <f t="shared" si="3"/>
        <v>43860</v>
      </c>
      <c r="B62" s="1">
        <v>0.59985129294935591</v>
      </c>
      <c r="C62" s="1">
        <f>MAX(alpha*C61+(1+alpha)/2*(B62-B61),0)</f>
        <v>3.4426410585029113E-2</v>
      </c>
      <c r="D62" s="1">
        <f t="shared" si="0"/>
        <v>0.56542488236432675</v>
      </c>
      <c r="E62" s="1">
        <f>MAX(alpha*E63+(1+alpha)/2*(D62-D63),0)</f>
        <v>1.9429346185088056E-2</v>
      </c>
      <c r="F62" s="1">
        <f t="shared" si="1"/>
        <v>0.54599553617923868</v>
      </c>
      <c r="G62" s="1">
        <f>MAX(alpha*G61+(1+alpha)/2*(F62-F61),0)</f>
        <v>7.2146341111577569E-2</v>
      </c>
      <c r="H62" s="1">
        <f t="shared" si="2"/>
        <v>0.4738491950676611</v>
      </c>
    </row>
    <row r="63" spans="1:8" x14ac:dyDescent="0.35">
      <c r="A63" s="3">
        <f t="shared" si="3"/>
        <v>43861</v>
      </c>
      <c r="B63" s="1">
        <v>0.57304656562056766</v>
      </c>
      <c r="C63" s="1">
        <f>MAX(alpha*C62+(1+alpha)/2*(B63-B62),0)</f>
        <v>6.04487973719324E-3</v>
      </c>
      <c r="D63" s="1">
        <f t="shared" si="0"/>
        <v>0.56700168588337441</v>
      </c>
      <c r="E63" s="1">
        <f>MAX(alpha*E64+(1+alpha)/2*(D63-D64),0)</f>
        <v>2.2645426564509644E-2</v>
      </c>
      <c r="F63" s="1">
        <f t="shared" si="1"/>
        <v>0.54435625931886478</v>
      </c>
      <c r="G63" s="1">
        <f>MAX(alpha*G62+(1+alpha)/2*(F63-F62),0)</f>
        <v>6.5157561550099372E-2</v>
      </c>
      <c r="H63" s="1">
        <f t="shared" si="2"/>
        <v>0.47919869776876539</v>
      </c>
    </row>
    <row r="64" spans="1:8" x14ac:dyDescent="0.35">
      <c r="A64" s="3">
        <f t="shared" si="3"/>
        <v>43862</v>
      </c>
      <c r="B64" s="1">
        <v>0.60137132149800587</v>
      </c>
      <c r="C64" s="1">
        <f>MAX(alpha*C63+(1+alpha)/2*(B64-B63),0)</f>
        <v>3.2854091288938028E-2</v>
      </c>
      <c r="D64" s="1">
        <f t="shared" si="0"/>
        <v>0.56851723020906786</v>
      </c>
      <c r="E64" s="1">
        <f>MAX(alpha*E65+(1+alpha)/2*(D64-D65),0)</f>
        <v>2.6058527543772528E-2</v>
      </c>
      <c r="F64" s="1">
        <f t="shared" si="1"/>
        <v>0.54245870266529528</v>
      </c>
      <c r="G64" s="1">
        <f>MAX(alpha*G63+(1+alpha)/2*(F64-F63),0)</f>
        <v>5.8444346154781279E-2</v>
      </c>
      <c r="H64" s="1">
        <f t="shared" si="2"/>
        <v>0.484014356510514</v>
      </c>
    </row>
    <row r="65" spans="1:8" x14ac:dyDescent="0.35">
      <c r="A65" s="3">
        <f t="shared" si="3"/>
        <v>43863</v>
      </c>
      <c r="B65" s="1">
        <v>0.85440539514242275</v>
      </c>
      <c r="C65" s="1">
        <f>MAX(alpha*C64+(1+alpha)/2*(B65-B64),0)</f>
        <v>0.27393533032501893</v>
      </c>
      <c r="D65" s="1">
        <f t="shared" si="0"/>
        <v>0.58047006481740382</v>
      </c>
      <c r="E65" s="1">
        <f>MAX(alpha*E66+(1+alpha)/2*(D65-D66),0)</f>
        <v>4.0608790112752313E-2</v>
      </c>
      <c r="F65" s="1">
        <f t="shared" si="1"/>
        <v>0.53986127470465151</v>
      </c>
      <c r="G65" s="1">
        <f>MAX(alpha*G64+(1+alpha)/2*(F65-F64),0)</f>
        <v>5.1560995781053054E-2</v>
      </c>
      <c r="H65" s="1">
        <f t="shared" si="2"/>
        <v>0.48830027892359845</v>
      </c>
    </row>
    <row r="66" spans="1:8" x14ac:dyDescent="0.35">
      <c r="A66" s="3">
        <f t="shared" si="3"/>
        <v>43864</v>
      </c>
      <c r="B66" s="1">
        <v>1.1294645182611676</v>
      </c>
      <c r="C66" s="1">
        <f>MAX(alpha*C65+(1+alpha)/2*(B66-B65),0)</f>
        <v>0.5181345865524345</v>
      </c>
      <c r="D66" s="1">
        <f t="shared" si="0"/>
        <v>0.61132993170873307</v>
      </c>
      <c r="E66" s="1">
        <f>MAX(alpha*E67+(1+alpha)/2*(D66-D67),0)</f>
        <v>7.6012337292601845E-2</v>
      </c>
      <c r="F66" s="1">
        <f t="shared" si="1"/>
        <v>0.53531759441613125</v>
      </c>
      <c r="G66" s="1">
        <f>MAX(alpha*G65+(1+alpha)/2*(F66-F65),0)</f>
        <v>4.3320628819773332E-2</v>
      </c>
      <c r="H66" s="1">
        <f t="shared" si="2"/>
        <v>0.49199696559635792</v>
      </c>
    </row>
    <row r="67" spans="1:8" x14ac:dyDescent="0.35">
      <c r="A67" s="3">
        <f t="shared" si="3"/>
        <v>43865</v>
      </c>
      <c r="B67" s="1">
        <v>0.9917471105773914</v>
      </c>
      <c r="C67" s="1">
        <f>MAX(alpha*C66+(1+alpha)/2*(B67-B66),0)</f>
        <v>0.34672148766536737</v>
      </c>
      <c r="D67" s="1">
        <f t="shared" si="0"/>
        <v>0.64502562291202403</v>
      </c>
      <c r="E67" s="1">
        <f>MAX(alpha*E68+(1+alpha)/2*(D67-D68),0)</f>
        <v>0.11723723251434529</v>
      </c>
      <c r="F67" s="1">
        <f t="shared" si="1"/>
        <v>0.52778839039767877</v>
      </c>
      <c r="G67" s="1">
        <f>MAX(alpha*G66+(1+alpha)/2*(F67-F66),0)</f>
        <v>3.282472279052983E-2</v>
      </c>
      <c r="H67" s="1">
        <f t="shared" si="2"/>
        <v>0.49496366760714894</v>
      </c>
    </row>
    <row r="68" spans="1:8" x14ac:dyDescent="0.35">
      <c r="A68" s="3">
        <f t="shared" si="3"/>
        <v>43866</v>
      </c>
      <c r="B68" s="1">
        <v>0.8053950149134802</v>
      </c>
      <c r="C68" s="1">
        <f>MAX(alpha*C67+(1+alpha)/2*(B68-B67),0)</f>
        <v>0.14135348401395031</v>
      </c>
      <c r="D68" s="1">
        <f t="shared" ref="D68:D131" si="4">B68-C68</f>
        <v>0.66404153089952989</v>
      </c>
      <c r="E68" s="1">
        <f>MAX(alpha*E69+(1+alpha)/2*(D68-D69),0)</f>
        <v>0.14652977724575098</v>
      </c>
      <c r="F68" s="1">
        <f t="shared" ref="F68:F131" si="5">D68-E68</f>
        <v>0.51751175365377888</v>
      </c>
      <c r="G68" s="1">
        <f>MAX(alpha*G67+(1+alpha)/2*(F68-F67),0)</f>
        <v>2.047160571523645E-2</v>
      </c>
      <c r="H68" s="1">
        <f t="shared" ref="H68:H131" si="6">F68-G68</f>
        <v>0.49704014793854245</v>
      </c>
    </row>
    <row r="69" spans="1:8" x14ac:dyDescent="0.35">
      <c r="A69" s="3">
        <f t="shared" si="3"/>
        <v>43867</v>
      </c>
      <c r="B69" s="1">
        <v>0.69901503131928955</v>
      </c>
      <c r="C69" s="1">
        <f>MAX(alpha*C68+(1+alpha)/2*(B69-B68),0)</f>
        <v>2.8361238503495534E-2</v>
      </c>
      <c r="D69" s="1">
        <f t="shared" si="4"/>
        <v>0.67065379281579407</v>
      </c>
      <c r="E69" s="1">
        <f>MAX(alpha*E70+(1+alpha)/2*(D69-D70),0)</f>
        <v>0.16529089658395163</v>
      </c>
      <c r="F69" s="1">
        <f t="shared" si="5"/>
        <v>0.50536289623184238</v>
      </c>
      <c r="G69" s="1">
        <f>MAX(alpha*G68+(1+alpha)/2*(F69-F68),0)</f>
        <v>7.242960017979836E-3</v>
      </c>
      <c r="H69" s="1">
        <f t="shared" si="6"/>
        <v>0.49811993621386252</v>
      </c>
    </row>
    <row r="70" spans="1:8" x14ac:dyDescent="0.35">
      <c r="A70" s="3">
        <f t="shared" si="3"/>
        <v>43868</v>
      </c>
      <c r="B70" s="1">
        <v>0.63163878914956928</v>
      </c>
      <c r="C70" s="1">
        <f>MAX(alpha*C69+(1+alpha)/2*(B70-B69),0)</f>
        <v>0</v>
      </c>
      <c r="D70" s="1">
        <f t="shared" si="4"/>
        <v>0.63163878914956928</v>
      </c>
      <c r="E70" s="1">
        <f>MAX(alpha*E71+(1+alpha)/2*(D70-D71),0)</f>
        <v>0.13809616816779488</v>
      </c>
      <c r="F70" s="1">
        <f t="shared" si="5"/>
        <v>0.49354262098177437</v>
      </c>
      <c r="G70" s="1">
        <f>MAX(alpha*G69+(1+alpha)/2*(F70-F69),0)</f>
        <v>0</v>
      </c>
      <c r="H70" s="1">
        <f t="shared" si="6"/>
        <v>0.49354262098177437</v>
      </c>
    </row>
    <row r="71" spans="1:8" x14ac:dyDescent="0.35">
      <c r="A71" s="3">
        <f t="shared" si="3"/>
        <v>43869</v>
      </c>
      <c r="B71" s="1">
        <v>0.57676412705900082</v>
      </c>
      <c r="C71" s="1">
        <f>MAX(alpha*C70+(1+alpha)/2*(B71-B70),0)</f>
        <v>0</v>
      </c>
      <c r="D71" s="1">
        <f t="shared" si="4"/>
        <v>0.57676412705900082</v>
      </c>
      <c r="E71" s="1">
        <f>MAX(alpha*E72+(1+alpha)/2*(D71-D72),0)</f>
        <v>9.2193844222294846E-2</v>
      </c>
      <c r="F71" s="1">
        <f t="shared" si="5"/>
        <v>0.484570282836706</v>
      </c>
      <c r="G71" s="1">
        <f>MAX(alpha*G70+(1+alpha)/2*(F71-F70),0)</f>
        <v>0</v>
      </c>
      <c r="H71" s="1">
        <f t="shared" si="6"/>
        <v>0.484570282836706</v>
      </c>
    </row>
    <row r="72" spans="1:8" x14ac:dyDescent="0.35">
      <c r="A72" s="3">
        <f t="shared" si="3"/>
        <v>43870</v>
      </c>
      <c r="B72" s="1">
        <v>0.54689071213682705</v>
      </c>
      <c r="C72" s="1">
        <f>MAX(alpha*C71+(1+alpha)/2*(B72-B71),0)</f>
        <v>0</v>
      </c>
      <c r="D72" s="1">
        <f t="shared" si="4"/>
        <v>0.54689071213682705</v>
      </c>
      <c r="E72" s="1">
        <f>MAX(alpha*E73+(1+alpha)/2*(D72-D73),0)</f>
        <v>6.8584521469948756E-2</v>
      </c>
      <c r="F72" s="1">
        <f t="shared" si="5"/>
        <v>0.47830619066687829</v>
      </c>
      <c r="G72" s="1">
        <f>MAX(alpha*G71+(1+alpha)/2*(F72-F71),0)</f>
        <v>0</v>
      </c>
      <c r="H72" s="1">
        <f t="shared" si="6"/>
        <v>0.47830619066687829</v>
      </c>
    </row>
    <row r="73" spans="1:8" x14ac:dyDescent="0.35">
      <c r="A73" s="3">
        <f t="shared" si="3"/>
        <v>43871</v>
      </c>
      <c r="B73" s="1">
        <v>0.55419815337065825</v>
      </c>
      <c r="C73" s="1">
        <f>MAX(alpha*C72+(1+alpha)/2*(B73-B72),0)</f>
        <v>7.0334121875625325E-3</v>
      </c>
      <c r="D73" s="1">
        <f t="shared" si="4"/>
        <v>0.54716474118309577</v>
      </c>
      <c r="E73" s="1">
        <f>MAX(alpha*E74+(1+alpha)/2*(D73-D74),0)</f>
        <v>7.4430566948089069E-2</v>
      </c>
      <c r="F73" s="1">
        <f t="shared" si="5"/>
        <v>0.47273417423500669</v>
      </c>
      <c r="G73" s="1">
        <f>MAX(alpha*G72+(1+alpha)/2*(F73-F72),0)</f>
        <v>0</v>
      </c>
      <c r="H73" s="1">
        <f t="shared" si="6"/>
        <v>0.47273417423500669</v>
      </c>
    </row>
    <row r="74" spans="1:8" x14ac:dyDescent="0.35">
      <c r="A74" s="3">
        <f t="shared" si="3"/>
        <v>43872</v>
      </c>
      <c r="B74" s="1">
        <v>0.54023714714675497</v>
      </c>
      <c r="C74" s="1">
        <f>MAX(alpha*C73+(1+alpha)/2*(B74-B73),0)</f>
        <v>0</v>
      </c>
      <c r="D74" s="1">
        <f t="shared" si="4"/>
        <v>0.54023714714675497</v>
      </c>
      <c r="E74" s="1">
        <f>MAX(alpha*E75+(1+alpha)/2*(D74-D75),0)</f>
        <v>7.3257035338498422E-2</v>
      </c>
      <c r="F74" s="1">
        <f t="shared" si="5"/>
        <v>0.46698011180825655</v>
      </c>
      <c r="G74" s="1">
        <f>MAX(alpha*G73+(1+alpha)/2*(F74-F73),0)</f>
        <v>0</v>
      </c>
      <c r="H74" s="1">
        <f t="shared" si="6"/>
        <v>0.46698011180825655</v>
      </c>
    </row>
    <row r="75" spans="1:8" x14ac:dyDescent="0.35">
      <c r="A75" s="3">
        <f t="shared" si="3"/>
        <v>43873</v>
      </c>
      <c r="B75" s="1">
        <v>0.50607011607994379</v>
      </c>
      <c r="C75" s="1">
        <f>MAX(alpha*C74+(1+alpha)/2*(B75-B74),0)</f>
        <v>0</v>
      </c>
      <c r="D75" s="1">
        <f t="shared" si="4"/>
        <v>0.50607011607994379</v>
      </c>
      <c r="E75" s="1">
        <f>MAX(alpha*E76+(1+alpha)/2*(D75-D76),0)</f>
        <v>4.3644613985613687E-2</v>
      </c>
      <c r="F75" s="1">
        <f t="shared" si="5"/>
        <v>0.46242550209433009</v>
      </c>
      <c r="G75" s="1">
        <f>MAX(alpha*G74+(1+alpha)/2*(F75-F74),0)</f>
        <v>0</v>
      </c>
      <c r="H75" s="1">
        <f t="shared" si="6"/>
        <v>0.46242550209433009</v>
      </c>
    </row>
    <row r="76" spans="1:8" x14ac:dyDescent="0.35">
      <c r="A76" s="3">
        <f t="shared" si="3"/>
        <v>43874</v>
      </c>
      <c r="B76" s="1">
        <v>0.4946509582444461</v>
      </c>
      <c r="C76" s="1">
        <f>MAX(alpha*C75+(1+alpha)/2*(B76-B75),0)</f>
        <v>0</v>
      </c>
      <c r="D76" s="1">
        <f t="shared" si="4"/>
        <v>0.4946509582444461</v>
      </c>
      <c r="E76" s="1">
        <f>MAX(alpha*E77+(1+alpha)/2*(D76-D77),0)</f>
        <v>3.5301269804267205E-2</v>
      </c>
      <c r="F76" s="1">
        <f t="shared" si="5"/>
        <v>0.45934968844017887</v>
      </c>
      <c r="G76" s="1">
        <f>MAX(alpha*G75+(1+alpha)/2*(F76-F75),0)</f>
        <v>0</v>
      </c>
      <c r="H76" s="1">
        <f t="shared" si="6"/>
        <v>0.45934968844017887</v>
      </c>
    </row>
    <row r="77" spans="1:8" x14ac:dyDescent="0.35">
      <c r="A77" s="3">
        <f t="shared" si="3"/>
        <v>43875</v>
      </c>
      <c r="B77" s="1">
        <v>0.47750266369589278</v>
      </c>
      <c r="C77" s="1">
        <f>MAX(alpha*C76+(1+alpha)/2*(B77-B76),0)</f>
        <v>0</v>
      </c>
      <c r="D77" s="1">
        <f t="shared" si="4"/>
        <v>0.47750266369589278</v>
      </c>
      <c r="E77" s="1">
        <f>MAX(alpha*E78+(1+alpha)/2*(D77-D78),0)</f>
        <v>2.0320039244632031E-2</v>
      </c>
      <c r="F77" s="1">
        <f t="shared" si="5"/>
        <v>0.45718262445126073</v>
      </c>
      <c r="G77" s="1">
        <f>MAX(alpha*G76+(1+alpha)/2*(F77-F76),0)</f>
        <v>0</v>
      </c>
      <c r="H77" s="1">
        <f t="shared" si="6"/>
        <v>0.45718262445126073</v>
      </c>
    </row>
    <row r="78" spans="1:8" x14ac:dyDescent="0.35">
      <c r="A78" s="3">
        <f t="shared" si="3"/>
        <v>43876</v>
      </c>
      <c r="B78" s="1">
        <v>0.45970815700388101</v>
      </c>
      <c r="C78" s="1">
        <f>MAX(alpha*C77+(1+alpha)/2*(B78-B77),0)</f>
        <v>0</v>
      </c>
      <c r="D78" s="1">
        <f t="shared" si="4"/>
        <v>0.45970815700388101</v>
      </c>
      <c r="E78" s="1">
        <f>MAX(alpha*E79+(1+alpha)/2*(D78-D79),0)</f>
        <v>3.4517043822385983E-3</v>
      </c>
      <c r="F78" s="1">
        <f t="shared" si="5"/>
        <v>0.45625645262164244</v>
      </c>
      <c r="G78" s="1">
        <f>MAX(alpha*G77+(1+alpha)/2*(F78-F77),0)</f>
        <v>0</v>
      </c>
      <c r="H78" s="1">
        <f t="shared" si="6"/>
        <v>0.45625645262164244</v>
      </c>
    </row>
    <row r="79" spans="1:8" x14ac:dyDescent="0.35">
      <c r="A79" s="3">
        <f t="shared" si="3"/>
        <v>43877</v>
      </c>
      <c r="B79" s="1">
        <v>0.45612197063272403</v>
      </c>
      <c r="C79" s="1">
        <f>MAX(alpha*C78+(1+alpha)/2*(B79-B78),0)</f>
        <v>0</v>
      </c>
      <c r="D79" s="1">
        <f t="shared" si="4"/>
        <v>0.45612197063272403</v>
      </c>
      <c r="E79" s="1">
        <f>MAX(alpha*E80+(1+alpha)/2*(D79-D80),0)</f>
        <v>0</v>
      </c>
      <c r="F79" s="1">
        <f t="shared" si="5"/>
        <v>0.45612197063272403</v>
      </c>
      <c r="G79" s="1">
        <f>MAX(alpha*G78+(1+alpha)/2*(F79-F78),0)</f>
        <v>0</v>
      </c>
      <c r="H79" s="1">
        <f t="shared" si="6"/>
        <v>0.45612197063272403</v>
      </c>
    </row>
    <row r="80" spans="1:8" x14ac:dyDescent="0.35">
      <c r="A80" s="3">
        <f t="shared" si="3"/>
        <v>43878</v>
      </c>
      <c r="B80" s="1">
        <v>0.45664141651363127</v>
      </c>
      <c r="C80" s="1">
        <f>MAX(alpha*C79+(1+alpha)/2*(B80-B79),0)</f>
        <v>4.9996666037322173E-4</v>
      </c>
      <c r="D80" s="1">
        <f t="shared" si="4"/>
        <v>0.45614144985325805</v>
      </c>
      <c r="E80" s="1">
        <f>MAX(alpha*E81+(1+alpha)/2*(D80-D81),0)</f>
        <v>0</v>
      </c>
      <c r="F80" s="1">
        <f t="shared" si="5"/>
        <v>0.45614144985325805</v>
      </c>
      <c r="G80" s="1">
        <f>MAX(alpha*G79+(1+alpha)/2*(F80-F79),0)</f>
        <v>1.8748749763998487E-5</v>
      </c>
      <c r="H80" s="1">
        <f t="shared" si="6"/>
        <v>0.45612270110349407</v>
      </c>
    </row>
    <row r="81" spans="1:8" x14ac:dyDescent="0.35">
      <c r="A81" s="3">
        <f t="shared" si="3"/>
        <v>43879</v>
      </c>
      <c r="B81" s="1">
        <v>0.64326985409503779</v>
      </c>
      <c r="C81" s="1">
        <f>MAX(alpha*C80+(1+alpha)/2*(B81-B80),0)</f>
        <v>0.18009234033294899</v>
      </c>
      <c r="D81" s="1">
        <f t="shared" si="4"/>
        <v>0.46317751376208882</v>
      </c>
      <c r="E81" s="1">
        <f>MAX(alpha*E82+(1+alpha)/2*(D81-D82),0)</f>
        <v>0</v>
      </c>
      <c r="F81" s="1">
        <f t="shared" si="5"/>
        <v>0.46317751376208882</v>
      </c>
      <c r="G81" s="1">
        <f>MAX(alpha*G80+(1+alpha)/2*(F81-F80),0)</f>
        <v>6.7895541057813149E-3</v>
      </c>
      <c r="H81" s="1">
        <f t="shared" si="6"/>
        <v>0.45638795965630752</v>
      </c>
    </row>
    <row r="82" spans="1:8" x14ac:dyDescent="0.35">
      <c r="A82" s="3">
        <f t="shared" si="3"/>
        <v>43880</v>
      </c>
      <c r="B82" s="1">
        <v>0.55577933042232786</v>
      </c>
      <c r="C82" s="1">
        <f>MAX(alpha*C81+(1+alpha)/2*(B82-B81),0)</f>
        <v>8.2375785772994523E-2</v>
      </c>
      <c r="D82" s="1">
        <f t="shared" si="4"/>
        <v>0.47340354464933332</v>
      </c>
      <c r="E82" s="1">
        <f>MAX(alpha*E83+(1+alpha)/2*(D82-D83),0)</f>
        <v>0</v>
      </c>
      <c r="F82" s="1">
        <f t="shared" si="5"/>
        <v>0.47340354464933332</v>
      </c>
      <c r="G82" s="1">
        <f>MAX(alpha*G81+(1+alpha)/2*(F82-F81),0)</f>
        <v>1.6122892276820545E-2</v>
      </c>
      <c r="H82" s="1">
        <f t="shared" si="6"/>
        <v>0.45728065237251275</v>
      </c>
    </row>
    <row r="83" spans="1:8" x14ac:dyDescent="0.35">
      <c r="A83" s="3">
        <f t="shared" si="3"/>
        <v>43881</v>
      </c>
      <c r="B83" s="1">
        <v>0.50147285467356095</v>
      </c>
      <c r="C83" s="1">
        <f>MAX(alpha*C82+(1+alpha)/2*(B83-B82),0)</f>
        <v>2.392761893183179E-2</v>
      </c>
      <c r="D83" s="1">
        <f t="shared" si="4"/>
        <v>0.47754523574172913</v>
      </c>
      <c r="E83" s="1">
        <f>MAX(alpha*E84+(1+alpha)/2*(D83-D84),0)</f>
        <v>4.0394980825326863E-3</v>
      </c>
      <c r="F83" s="1">
        <f t="shared" si="5"/>
        <v>0.47350573765919646</v>
      </c>
      <c r="G83" s="1">
        <f>MAX(alpha*G82+(1+alpha)/2*(F83-F82),0)</f>
        <v>1.5012036128052275E-2</v>
      </c>
      <c r="H83" s="1">
        <f t="shared" si="6"/>
        <v>0.45849370153114416</v>
      </c>
    </row>
    <row r="84" spans="1:8" x14ac:dyDescent="0.35">
      <c r="A84" s="3">
        <f t="shared" si="3"/>
        <v>43882</v>
      </c>
      <c r="B84" s="1">
        <v>0.47334835461701985</v>
      </c>
      <c r="C84" s="1">
        <f>MAX(alpha*C83+(1+alpha)/2*(B84-B83),0)</f>
        <v>0</v>
      </c>
      <c r="D84" s="1">
        <f t="shared" si="4"/>
        <v>0.47334835461701985</v>
      </c>
      <c r="E84" s="1">
        <f>MAX(alpha*E85+(1+alpha)/2*(D84-D85),0)</f>
        <v>0</v>
      </c>
      <c r="F84" s="1">
        <f t="shared" si="5"/>
        <v>0.47334835461701985</v>
      </c>
      <c r="G84" s="1">
        <f>MAX(alpha*G83+(1+alpha)/2*(F84-F83),0)</f>
        <v>1.3734652240353371E-2</v>
      </c>
      <c r="H84" s="1">
        <f t="shared" si="6"/>
        <v>0.45961370237666649</v>
      </c>
    </row>
    <row r="85" spans="1:8" x14ac:dyDescent="0.35">
      <c r="A85" s="3">
        <f t="shared" si="3"/>
        <v>43883</v>
      </c>
      <c r="B85" s="1">
        <v>0.50624933929991045</v>
      </c>
      <c r="C85" s="1">
        <f>MAX(alpha*C84+(1+alpha)/2*(B85-B84),0)</f>
        <v>3.1667197757282203E-2</v>
      </c>
      <c r="D85" s="1">
        <f t="shared" si="4"/>
        <v>0.47458214154262823</v>
      </c>
      <c r="E85" s="1">
        <f>MAX(alpha*E86+(1+alpha)/2*(D85-D86),0)</f>
        <v>0</v>
      </c>
      <c r="F85" s="1">
        <f t="shared" si="5"/>
        <v>0.47458214154262823</v>
      </c>
      <c r="G85" s="1">
        <f>MAX(alpha*G84+(1+alpha)/2*(F85-F84),0)</f>
        <v>1.3892073238224936E-2</v>
      </c>
      <c r="H85" s="1">
        <f t="shared" si="6"/>
        <v>0.46069006830440329</v>
      </c>
    </row>
    <row r="86" spans="1:8" x14ac:dyDescent="0.35">
      <c r="A86" s="3">
        <f t="shared" si="3"/>
        <v>43884</v>
      </c>
      <c r="B86" s="1">
        <v>0.65085766674050249</v>
      </c>
      <c r="C86" s="1">
        <f>MAX(alpha*C85+(1+alpha)/2*(B86-B85),0)</f>
        <v>0.16847767308705588</v>
      </c>
      <c r="D86" s="1">
        <f t="shared" si="4"/>
        <v>0.48237999365344664</v>
      </c>
      <c r="E86" s="1">
        <f>MAX(alpha*E87+(1+alpha)/2*(D86-D87),0)</f>
        <v>0</v>
      </c>
      <c r="F86" s="1">
        <f t="shared" si="5"/>
        <v>0.48237999365344664</v>
      </c>
      <c r="G86" s="1">
        <f>MAX(alpha*G85+(1+alpha)/2*(F86-F85),0)</f>
        <v>2.0355600402020779E-2</v>
      </c>
      <c r="H86" s="1">
        <f t="shared" si="6"/>
        <v>0.46202439325142586</v>
      </c>
    </row>
    <row r="87" spans="1:8" x14ac:dyDescent="0.35">
      <c r="A87" s="3">
        <f t="shared" si="3"/>
        <v>43885</v>
      </c>
      <c r="B87" s="1">
        <v>0.67841427133624688</v>
      </c>
      <c r="C87" s="1">
        <f>MAX(alpha*C86+(1+alpha)/2*(B87-B86),0)</f>
        <v>0.18236507952893066</v>
      </c>
      <c r="D87" s="1">
        <f t="shared" si="4"/>
        <v>0.49604919180731621</v>
      </c>
      <c r="E87" s="1">
        <f>MAX(alpha*E88+(1+alpha)/2*(D87-D88),0)</f>
        <v>0</v>
      </c>
      <c r="F87" s="1">
        <f t="shared" si="5"/>
        <v>0.49604919180731621</v>
      </c>
      <c r="G87" s="1">
        <f>MAX(alpha*G86+(1+alpha)/2*(F87-F86),0)</f>
        <v>3.1985533594968689E-2</v>
      </c>
      <c r="H87" s="1">
        <f t="shared" si="6"/>
        <v>0.46406365821234752</v>
      </c>
    </row>
    <row r="88" spans="1:8" x14ac:dyDescent="0.35">
      <c r="A88" s="3">
        <f t="shared" si="3"/>
        <v>43886</v>
      </c>
      <c r="B88" s="1">
        <v>0.63033719533313937</v>
      </c>
      <c r="C88" s="1">
        <f>MAX(alpha*C87+(1+alpha)/2*(B88-B87),0)</f>
        <v>0.12241351291126987</v>
      </c>
      <c r="D88" s="1">
        <f t="shared" si="4"/>
        <v>0.50792368242186947</v>
      </c>
      <c r="E88" s="1">
        <f>MAX(alpha*E89+(1+alpha)/2*(D88-D89),0)</f>
        <v>2.0392419285172325E-3</v>
      </c>
      <c r="F88" s="1">
        <f t="shared" si="5"/>
        <v>0.50588444049335224</v>
      </c>
      <c r="G88" s="1">
        <f>MAX(alpha*G87+(1+alpha)/2*(F88-F87),0)</f>
        <v>3.9053045435655714E-2</v>
      </c>
      <c r="H88" s="1">
        <f t="shared" si="6"/>
        <v>0.46683139505769655</v>
      </c>
    </row>
    <row r="89" spans="1:8" x14ac:dyDescent="0.35">
      <c r="A89" s="3">
        <f t="shared" si="3"/>
        <v>43887</v>
      </c>
      <c r="B89" s="1">
        <v>0.60017161963954557</v>
      </c>
      <c r="C89" s="1">
        <f>MAX(alpha*C88+(1+alpha)/2*(B89-B88),0)</f>
        <v>8.4198132837840597E-2</v>
      </c>
      <c r="D89" s="1">
        <f t="shared" si="4"/>
        <v>0.51597348680170496</v>
      </c>
      <c r="E89" s="1">
        <f>MAX(alpha*E90+(1+alpha)/2*(D89-D90),0)</f>
        <v>1.058073366930691E-2</v>
      </c>
      <c r="F89" s="1">
        <f t="shared" si="5"/>
        <v>0.50539275313239806</v>
      </c>
      <c r="G89" s="1">
        <f>MAX(alpha*G88+(1+alpha)/2*(F89-F88),0)</f>
        <v>3.5650817943063143E-2</v>
      </c>
      <c r="H89" s="1">
        <f t="shared" si="6"/>
        <v>0.46974193518933494</v>
      </c>
    </row>
    <row r="90" spans="1:8" x14ac:dyDescent="0.35">
      <c r="A90" s="3">
        <f t="shared" si="3"/>
        <v>43888</v>
      </c>
      <c r="B90" s="1">
        <v>0.56199105175786235</v>
      </c>
      <c r="C90" s="1">
        <f>MAX(alpha*C89+(1+alpha)/2*(B90-B89),0)</f>
        <v>4.1134476288882456E-2</v>
      </c>
      <c r="D90" s="1">
        <f t="shared" si="4"/>
        <v>0.5208565754689799</v>
      </c>
      <c r="E90" s="1">
        <f>MAX(alpha*E91+(1+alpha)/2*(D90-D91),0)</f>
        <v>1.651968271519896E-2</v>
      </c>
      <c r="F90" s="1">
        <f t="shared" si="5"/>
        <v>0.50433689275378091</v>
      </c>
      <c r="G90" s="1">
        <f>MAX(alpha*G89+(1+alpha)/2*(F90-F89),0)</f>
        <v>3.1960740982914397E-2</v>
      </c>
      <c r="H90" s="1">
        <f t="shared" si="6"/>
        <v>0.4723761517708665</v>
      </c>
    </row>
    <row r="91" spans="1:8" x14ac:dyDescent="0.35">
      <c r="A91" s="3">
        <f t="shared" si="3"/>
        <v>43889</v>
      </c>
      <c r="B91" s="1">
        <v>0.53210338612492702</v>
      </c>
      <c r="C91" s="1">
        <f>MAX(alpha*C90+(1+alpha)/2*(B91-B90),0)</f>
        <v>9.2825123955160259E-3</v>
      </c>
      <c r="D91" s="1">
        <f t="shared" si="4"/>
        <v>0.522820873729411</v>
      </c>
      <c r="E91" s="1">
        <f>MAX(alpha*E92+(1+alpha)/2*(D91-D92),0)</f>
        <v>1.9903048422555556E-2</v>
      </c>
      <c r="F91" s="1">
        <f t="shared" si="5"/>
        <v>0.50291782530685547</v>
      </c>
      <c r="G91" s="1">
        <f>MAX(alpha*G90+(1+alpha)/2*(F91-F90),0)</f>
        <v>2.8197832991530086E-2</v>
      </c>
      <c r="H91" s="1">
        <f t="shared" si="6"/>
        <v>0.47471999231532536</v>
      </c>
    </row>
    <row r="92" spans="1:8" x14ac:dyDescent="0.35">
      <c r="A92" s="3">
        <f t="shared" si="3"/>
        <v>43890</v>
      </c>
      <c r="B92" s="1">
        <v>0.50214238186182081</v>
      </c>
      <c r="C92" s="1">
        <f>MAX(alpha*C91+(1+alpha)/2*(B92-B91),0)</f>
        <v>0</v>
      </c>
      <c r="D92" s="1">
        <f t="shared" si="4"/>
        <v>0.50214238186182081</v>
      </c>
      <c r="E92" s="1">
        <f>MAX(alpha*E93+(1+alpha)/2*(D92-D93),0)</f>
        <v>0</v>
      </c>
      <c r="F92" s="1">
        <f t="shared" si="5"/>
        <v>0.50214238186182081</v>
      </c>
      <c r="G92" s="1">
        <f>MAX(alpha*G91+(1+alpha)/2*(F92-F91),0)</f>
        <v>2.533663120131947E-2</v>
      </c>
      <c r="H92" s="1">
        <f t="shared" si="6"/>
        <v>0.47680575066050135</v>
      </c>
    </row>
    <row r="93" spans="1:8" x14ac:dyDescent="0.35">
      <c r="A93" s="3">
        <f t="shared" si="3"/>
        <v>43891</v>
      </c>
      <c r="B93" s="1">
        <v>0.57434666682329605</v>
      </c>
      <c r="C93" s="1">
        <f>MAX(alpha*C92+(1+alpha)/2*(B93-B92),0)</f>
        <v>6.9496624275419916E-2</v>
      </c>
      <c r="D93" s="1">
        <f t="shared" si="4"/>
        <v>0.50485004254787613</v>
      </c>
      <c r="E93" s="1">
        <f>MAX(alpha*E94+(1+alpha)/2*(D93-D94),0)</f>
        <v>0</v>
      </c>
      <c r="F93" s="1">
        <f t="shared" si="5"/>
        <v>0.50485004254787613</v>
      </c>
      <c r="G93" s="1">
        <f>MAX(alpha*G92+(1+alpha)/2*(F93-F92),0)</f>
        <v>2.6042507271548759E-2</v>
      </c>
      <c r="H93" s="1">
        <f t="shared" si="6"/>
        <v>0.47880753527632736</v>
      </c>
    </row>
    <row r="94" spans="1:8" x14ac:dyDescent="0.35">
      <c r="A94" s="3">
        <f t="shared" si="3"/>
        <v>43892</v>
      </c>
      <c r="B94" s="1">
        <v>0.68483465787854636</v>
      </c>
      <c r="C94" s="1">
        <f>MAX(alpha*C93+(1+alpha)/2*(B94-B93),0)</f>
        <v>0.17062906884544185</v>
      </c>
      <c r="D94" s="1">
        <f t="shared" si="4"/>
        <v>0.51420558903310454</v>
      </c>
      <c r="E94" s="1">
        <f>MAX(alpha*E95+(1+alpha)/2*(D94-D95),0)</f>
        <v>0</v>
      </c>
      <c r="F94" s="1">
        <f t="shared" si="5"/>
        <v>0.51420558903310454</v>
      </c>
      <c r="G94" s="1">
        <f>MAX(alpha*G93+(1+alpha)/2*(F94-F93),0)</f>
        <v>3.3094032718214941E-2</v>
      </c>
      <c r="H94" s="1">
        <f t="shared" si="6"/>
        <v>0.48111155631488961</v>
      </c>
    </row>
    <row r="95" spans="1:8" x14ac:dyDescent="0.35">
      <c r="A95" s="3">
        <f t="shared" si="3"/>
        <v>43893</v>
      </c>
      <c r="B95" s="1">
        <v>0.68287094515386837</v>
      </c>
      <c r="C95" s="1">
        <f>MAX(alpha*C94+(1+alpha)/2*(B95-B94),0)</f>
        <v>0.15594181518453115</v>
      </c>
      <c r="D95" s="1">
        <f t="shared" si="4"/>
        <v>0.52692912996933727</v>
      </c>
      <c r="E95" s="1">
        <f>MAX(alpha*E96+(1+alpha)/2*(D95-D96),0)</f>
        <v>0</v>
      </c>
      <c r="F95" s="1">
        <f t="shared" si="5"/>
        <v>0.52692912996933727</v>
      </c>
      <c r="G95" s="1">
        <f>MAX(alpha*G94+(1+alpha)/2*(F95-F94),0)</f>
        <v>4.2858388415472827E-2</v>
      </c>
      <c r="H95" s="1">
        <f t="shared" si="6"/>
        <v>0.48407074155386443</v>
      </c>
    </row>
    <row r="96" spans="1:8" x14ac:dyDescent="0.35">
      <c r="A96" s="3">
        <f t="shared" si="3"/>
        <v>43894</v>
      </c>
      <c r="B96" s="1">
        <v>0.68368874074768682</v>
      </c>
      <c r="C96" s="1">
        <f>MAX(alpha*C95+(1+alpha)/2*(B96-B95),0)</f>
        <v>0.14503330730474157</v>
      </c>
      <c r="D96" s="1">
        <f t="shared" si="4"/>
        <v>0.5386554334429452</v>
      </c>
      <c r="E96" s="1">
        <f>MAX(alpha*E97+(1+alpha)/2*(D96-D97),0)</f>
        <v>0</v>
      </c>
      <c r="F96" s="1">
        <f t="shared" si="5"/>
        <v>0.5386554334429452</v>
      </c>
      <c r="G96" s="1">
        <f>MAX(alpha*G95+(1+alpha)/2*(F96-F95),0)</f>
        <v>5.0930576377659992E-2</v>
      </c>
      <c r="H96" s="1">
        <f t="shared" si="6"/>
        <v>0.48772485706528523</v>
      </c>
    </row>
    <row r="97" spans="1:8" x14ac:dyDescent="0.35">
      <c r="A97" s="3">
        <f t="shared" si="3"/>
        <v>43895</v>
      </c>
      <c r="B97" s="1">
        <v>0.71967919665909552</v>
      </c>
      <c r="C97" s="1">
        <f>MAX(alpha*C96+(1+alpha)/2*(B97-B96),0)</f>
        <v>0.16879662307161683</v>
      </c>
      <c r="D97" s="1">
        <f t="shared" si="4"/>
        <v>0.55088257358747872</v>
      </c>
      <c r="E97" s="1">
        <f>MAX(alpha*E98+(1+alpha)/2*(D97-D98),0)</f>
        <v>0</v>
      </c>
      <c r="F97" s="1">
        <f t="shared" si="5"/>
        <v>0.55088257358747872</v>
      </c>
      <c r="G97" s="1">
        <f>MAX(alpha*G96+(1+alpha)/2*(F97-F96),0)</f>
        <v>5.8879405538449003E-2</v>
      </c>
      <c r="H97" s="1">
        <f t="shared" si="6"/>
        <v>0.49200316804902972</v>
      </c>
    </row>
    <row r="98" spans="1:8" x14ac:dyDescent="0.35">
      <c r="A98" s="3">
        <f t="shared" si="3"/>
        <v>43896</v>
      </c>
      <c r="B98" s="1">
        <v>0.70363036393532397</v>
      </c>
      <c r="C98" s="1">
        <f>MAX(alpha*C97+(1+alpha)/2*(B98-B97),0)</f>
        <v>0.14068987484461545</v>
      </c>
      <c r="D98" s="1">
        <f t="shared" si="4"/>
        <v>0.56294048909070848</v>
      </c>
      <c r="E98" s="1">
        <f>MAX(alpha*E99+(1+alpha)/2*(D98-D99),0)</f>
        <v>0</v>
      </c>
      <c r="F98" s="1">
        <f t="shared" si="5"/>
        <v>0.56294048909070848</v>
      </c>
      <c r="G98" s="1">
        <f>MAX(alpha*G97+(1+alpha)/2*(F98-F97),0)</f>
        <v>6.6069193794923986E-2</v>
      </c>
      <c r="H98" s="1">
        <f t="shared" si="6"/>
        <v>0.4968712952957845</v>
      </c>
    </row>
    <row r="99" spans="1:8" x14ac:dyDescent="0.35">
      <c r="A99" s="3">
        <f t="shared" ref="A99:A162" si="7">A98+1</f>
        <v>43897</v>
      </c>
      <c r="B99" s="1">
        <v>0.66497366320291951</v>
      </c>
      <c r="C99" s="1">
        <f>MAX(alpha*C98+(1+alpha)/2*(B99-B98),0)</f>
        <v>9.2931059776330011E-2</v>
      </c>
      <c r="D99" s="1">
        <f t="shared" si="4"/>
        <v>0.57204260342658952</v>
      </c>
      <c r="E99" s="1">
        <f>MAX(alpha*E100+(1+alpha)/2*(D99-D100),0)</f>
        <v>0</v>
      </c>
      <c r="F99" s="1">
        <f t="shared" si="5"/>
        <v>0.57204260342658952</v>
      </c>
      <c r="G99" s="1">
        <f>MAX(alpha*G98+(1+alpha)/2*(F99-F98),0)</f>
        <v>6.9874789308590188E-2</v>
      </c>
      <c r="H99" s="1">
        <f t="shared" si="6"/>
        <v>0.50216781411799938</v>
      </c>
    </row>
    <row r="100" spans="1:8" x14ac:dyDescent="0.35">
      <c r="A100" s="3">
        <f t="shared" si="7"/>
        <v>43898</v>
      </c>
      <c r="B100" s="1">
        <v>0.71159724057822127</v>
      </c>
      <c r="C100" s="1">
        <f>MAX(alpha*C99+(1+alpha)/2*(B100-B99),0)</f>
        <v>0.13083642351683322</v>
      </c>
      <c r="D100" s="1">
        <f t="shared" si="4"/>
        <v>0.58076081706138805</v>
      </c>
      <c r="E100" s="1">
        <f>MAX(alpha*E101+(1+alpha)/2*(D100-D101),0)</f>
        <v>0</v>
      </c>
      <c r="F100" s="1">
        <f t="shared" si="5"/>
        <v>0.58076081706138805</v>
      </c>
      <c r="G100" s="1">
        <f>MAX(alpha*G99+(1+alpha)/2*(F100-F99),0)</f>
        <v>7.3025460733939507E-2</v>
      </c>
      <c r="H100" s="1">
        <f t="shared" si="6"/>
        <v>0.50773535632744848</v>
      </c>
    </row>
    <row r="101" spans="1:8" x14ac:dyDescent="0.35">
      <c r="A101" s="3">
        <f t="shared" si="7"/>
        <v>43899</v>
      </c>
      <c r="B101" s="1">
        <v>1.0634072699848358</v>
      </c>
      <c r="C101" s="1">
        <f>MAX(alpha*C100+(1+alpha)/2*(B101-B100),0)</f>
        <v>0.45964084505693725</v>
      </c>
      <c r="D101" s="1">
        <f t="shared" si="4"/>
        <v>0.60376642492789856</v>
      </c>
      <c r="E101" s="1">
        <f>MAX(alpha*E102+(1+alpha)/2*(D101-D102),0)</f>
        <v>0</v>
      </c>
      <c r="F101" s="1">
        <f t="shared" si="5"/>
        <v>0.60376642492789856</v>
      </c>
      <c r="G101" s="1">
        <f>MAX(alpha*G100+(1+alpha)/2*(F101-F100),0)</f>
        <v>8.9691448750410421E-2</v>
      </c>
      <c r="H101" s="1">
        <f t="shared" si="6"/>
        <v>0.5140749761774881</v>
      </c>
    </row>
    <row r="102" spans="1:8" x14ac:dyDescent="0.35">
      <c r="A102" s="3">
        <f t="shared" si="7"/>
        <v>43900</v>
      </c>
      <c r="B102" s="1">
        <v>1.3838857072816706</v>
      </c>
      <c r="C102" s="1">
        <f>MAX(alpha*C101+(1+alpha)/2*(B102-B101),0)</f>
        <v>0.73362827757587046</v>
      </c>
      <c r="D102" s="1">
        <f t="shared" si="4"/>
        <v>0.65025742970580014</v>
      </c>
      <c r="E102" s="1">
        <f>MAX(alpha*E103+(1+alpha)/2*(D102-D103),0)</f>
        <v>1.4188779598787025E-2</v>
      </c>
      <c r="F102" s="1">
        <f t="shared" si="5"/>
        <v>0.63606865010701308</v>
      </c>
      <c r="G102" s="1">
        <f>MAX(alpha*G101+(1+alpha)/2*(F102-F101),0)</f>
        <v>0.11405548182902736</v>
      </c>
      <c r="H102" s="1">
        <f t="shared" si="6"/>
        <v>0.52201316827798572</v>
      </c>
    </row>
    <row r="103" spans="1:8" x14ac:dyDescent="0.35">
      <c r="A103" s="3">
        <f t="shared" si="7"/>
        <v>43901</v>
      </c>
      <c r="B103" s="1">
        <v>1.09663130661492</v>
      </c>
      <c r="C103" s="1">
        <f>MAX(alpha*C102+(1+alpha)/2*(B103-B102),0)</f>
        <v>0.4021237961159328</v>
      </c>
      <c r="D103" s="1">
        <f t="shared" si="4"/>
        <v>0.69450751049898729</v>
      </c>
      <c r="E103" s="1">
        <f>MAX(alpha*E104+(1+alpha)/2*(D103-D104),0)</f>
        <v>6.1383224175383416E-2</v>
      </c>
      <c r="F103" s="1">
        <f t="shared" si="5"/>
        <v>0.63312428632360385</v>
      </c>
      <c r="G103" s="1">
        <f>MAX(alpha*G102+(1+alpha)/2*(F103-F102),0)</f>
        <v>0.10266737055031892</v>
      </c>
      <c r="H103" s="1">
        <f t="shared" si="6"/>
        <v>0.53045691577328491</v>
      </c>
    </row>
    <row r="104" spans="1:8" x14ac:dyDescent="0.35">
      <c r="A104" s="3">
        <f t="shared" si="7"/>
        <v>43902</v>
      </c>
      <c r="B104" s="1">
        <v>0.93469573680923312</v>
      </c>
      <c r="C104" s="1">
        <f>MAX(alpha*C103+(1+alpha)/2*(B104-B103),0)</f>
        <v>0.2161015254692642</v>
      </c>
      <c r="D104" s="1">
        <f t="shared" si="4"/>
        <v>0.71859421133996892</v>
      </c>
      <c r="E104" s="1">
        <f>MAX(alpha*E105+(1+alpha)/2*(D104-D105),0)</f>
        <v>9.1423431064679164E-2</v>
      </c>
      <c r="F104" s="1">
        <f t="shared" si="5"/>
        <v>0.62717078027528972</v>
      </c>
      <c r="G104" s="1">
        <f>MAX(alpha*G103+(1+alpha)/2*(F104-F103),0)</f>
        <v>8.9237068187542651E-2</v>
      </c>
      <c r="H104" s="1">
        <f t="shared" si="6"/>
        <v>0.5379337120877471</v>
      </c>
    </row>
    <row r="105" spans="1:8" x14ac:dyDescent="0.35">
      <c r="A105" s="3">
        <f t="shared" si="7"/>
        <v>43903</v>
      </c>
      <c r="B105" s="1">
        <v>0.82940139738917906</v>
      </c>
      <c r="C105" s="1">
        <f>MAX(alpha*C104+(1+alpha)/2*(B105-B104),0)</f>
        <v>9.8548109367267364E-2</v>
      </c>
      <c r="D105" s="1">
        <f t="shared" si="4"/>
        <v>0.73085328802191174</v>
      </c>
      <c r="E105" s="1">
        <f>MAX(alpha*E106+(1+alpha)/2*(D105-D106),0)</f>
        <v>0.11159220796870176</v>
      </c>
      <c r="F105" s="1">
        <f t="shared" si="5"/>
        <v>0.61926108005321001</v>
      </c>
      <c r="G105" s="1">
        <f>MAX(alpha*G104+(1+alpha)/2*(F105-F104),0)</f>
        <v>7.4931201609725231E-2</v>
      </c>
      <c r="H105" s="1">
        <f t="shared" si="6"/>
        <v>0.54432987844348479</v>
      </c>
    </row>
    <row r="106" spans="1:8" x14ac:dyDescent="0.35">
      <c r="A106" s="3">
        <f t="shared" si="7"/>
        <v>43904</v>
      </c>
      <c r="B106" s="1">
        <v>0.74678201799460264</v>
      </c>
      <c r="C106" s="1">
        <f>MAX(alpha*C105+(1+alpha)/2*(B106-B105),0)</f>
        <v>1.1635848497442508E-2</v>
      </c>
      <c r="D106" s="1">
        <f t="shared" si="4"/>
        <v>0.73514616949716016</v>
      </c>
      <c r="E106" s="1">
        <f>MAX(alpha*E107+(1+alpha)/2*(D106-D107),0)</f>
        <v>0.12510714204176038</v>
      </c>
      <c r="F106" s="1">
        <f t="shared" si="5"/>
        <v>0.61003902745539973</v>
      </c>
      <c r="G106" s="1">
        <f>MAX(alpha*G105+(1+alpha)/2*(F106-F105),0)</f>
        <v>6.0435135863603447E-2</v>
      </c>
      <c r="H106" s="1">
        <f t="shared" si="6"/>
        <v>0.54960389159179623</v>
      </c>
    </row>
    <row r="107" spans="1:8" x14ac:dyDescent="0.35">
      <c r="A107" s="3">
        <f t="shared" si="7"/>
        <v>43905</v>
      </c>
      <c r="B107" s="1">
        <v>0.6869369575384664</v>
      </c>
      <c r="C107" s="1">
        <f>MAX(alpha*C106+(1+alpha)/2*(B107-B106),0)</f>
        <v>0</v>
      </c>
      <c r="D107" s="1">
        <f t="shared" si="4"/>
        <v>0.6869369575384664</v>
      </c>
      <c r="E107" s="1">
        <f>MAX(alpha*E108+(1+alpha)/2*(D107-D108),0)</f>
        <v>8.5087324898937985E-2</v>
      </c>
      <c r="F107" s="1">
        <f t="shared" si="5"/>
        <v>0.6018496326395284</v>
      </c>
      <c r="G107" s="1">
        <f>MAX(alpha*G106+(1+alpha)/2*(F107-F106),0)</f>
        <v>4.8020208163557038E-2</v>
      </c>
      <c r="H107" s="1">
        <f t="shared" si="6"/>
        <v>0.55382942447597139</v>
      </c>
    </row>
    <row r="108" spans="1:8" x14ac:dyDescent="0.35">
      <c r="A108" s="3">
        <f t="shared" si="7"/>
        <v>43906</v>
      </c>
      <c r="B108" s="1">
        <v>0.63726708885455075</v>
      </c>
      <c r="C108" s="1">
        <f>MAX(alpha*C107+(1+alpha)/2*(B108-B107),0)</f>
        <v>0</v>
      </c>
      <c r="D108" s="1">
        <f t="shared" si="4"/>
        <v>0.63726708885455075</v>
      </c>
      <c r="E108" s="1">
        <f>MAX(alpha*E109+(1+alpha)/2*(D108-D109),0)</f>
        <v>4.0302785179101804E-2</v>
      </c>
      <c r="F108" s="1">
        <f t="shared" si="5"/>
        <v>0.59696430367544895</v>
      </c>
      <c r="G108" s="1">
        <f>MAX(alpha*G107+(1+alpha)/2*(F108-F107),0)</f>
        <v>3.9716563423363792E-2</v>
      </c>
      <c r="H108" s="1">
        <f t="shared" si="6"/>
        <v>0.55724774025208512</v>
      </c>
    </row>
    <row r="109" spans="1:8" x14ac:dyDescent="0.35">
      <c r="A109" s="3">
        <f t="shared" si="7"/>
        <v>43907</v>
      </c>
      <c r="B109" s="1">
        <v>0.59539406529184757</v>
      </c>
      <c r="C109" s="1">
        <f>MAX(alpha*C108+(1+alpha)/2*(B109-B108),0)</f>
        <v>0</v>
      </c>
      <c r="D109" s="1">
        <f t="shared" si="4"/>
        <v>0.59539406529184757</v>
      </c>
      <c r="E109" s="1">
        <f>MAX(alpha*E110+(1+alpha)/2*(D109-D110),0)</f>
        <v>0</v>
      </c>
      <c r="F109" s="1">
        <f t="shared" si="5"/>
        <v>0.59539406529184757</v>
      </c>
      <c r="G109" s="1">
        <f>MAX(alpha*G108+(1+alpha)/2*(F109-F108),0)</f>
        <v>3.5226466722395183E-2</v>
      </c>
      <c r="H109" s="1">
        <f t="shared" si="6"/>
        <v>0.56016759856945242</v>
      </c>
    </row>
    <row r="110" spans="1:8" x14ac:dyDescent="0.35">
      <c r="A110" s="3">
        <f t="shared" si="7"/>
        <v>43908</v>
      </c>
      <c r="B110" s="1">
        <v>0.60711234844078954</v>
      </c>
      <c r="C110" s="1">
        <f>MAX(alpha*C109+(1+alpha)/2*(B110-B109),0)</f>
        <v>1.1278847530856643E-2</v>
      </c>
      <c r="D110" s="1">
        <f t="shared" si="4"/>
        <v>0.59583350090993292</v>
      </c>
      <c r="E110" s="1">
        <f>MAX(alpha*E111+(1+alpha)/2*(D110-D111),0)</f>
        <v>0</v>
      </c>
      <c r="F110" s="1">
        <f t="shared" si="5"/>
        <v>0.59583350090993292</v>
      </c>
      <c r="G110" s="1">
        <f>MAX(alpha*G109+(1+alpha)/2*(F110-F109),0)</f>
        <v>3.3007438500622696E-2</v>
      </c>
      <c r="H110" s="1">
        <f t="shared" si="6"/>
        <v>0.56282606240931021</v>
      </c>
    </row>
    <row r="111" spans="1:8" x14ac:dyDescent="0.35">
      <c r="A111" s="3">
        <f t="shared" si="7"/>
        <v>43909</v>
      </c>
      <c r="B111" s="1">
        <v>0.73744336902132046</v>
      </c>
      <c r="C111" s="1">
        <f>MAX(alpha*C110+(1+alpha)/2*(B111-B110),0)</f>
        <v>0.13587654127480339</v>
      </c>
      <c r="D111" s="1">
        <f t="shared" si="4"/>
        <v>0.60156682774651704</v>
      </c>
      <c r="E111" s="1">
        <f>MAX(alpha*E112+(1+alpha)/2*(D111-D112),0)</f>
        <v>0</v>
      </c>
      <c r="F111" s="1">
        <f t="shared" si="5"/>
        <v>0.60156682774651704</v>
      </c>
      <c r="G111" s="1">
        <f>MAX(alpha*G110+(1+alpha)/2*(F111-F110),0)</f>
        <v>3.6050207693288212E-2</v>
      </c>
      <c r="H111" s="1">
        <f t="shared" si="6"/>
        <v>0.56551662005322878</v>
      </c>
    </row>
    <row r="112" spans="1:8" x14ac:dyDescent="0.35">
      <c r="A112" s="3">
        <f t="shared" si="7"/>
        <v>43910</v>
      </c>
      <c r="B112" s="1">
        <v>1.3186097843450759</v>
      </c>
      <c r="C112" s="1">
        <f>MAX(alpha*C111+(1+alpha)/2*(B112-B111),0)</f>
        <v>0.68505847542830778</v>
      </c>
      <c r="D112" s="1">
        <f t="shared" si="4"/>
        <v>0.63355130891676814</v>
      </c>
      <c r="E112" s="1">
        <f>MAX(alpha*E113+(1+alpha)/2*(D112-D113),0)</f>
        <v>2.5250403111342454E-2</v>
      </c>
      <c r="F112" s="1">
        <f t="shared" si="5"/>
        <v>0.60830090580542573</v>
      </c>
      <c r="G112" s="1">
        <f>MAX(alpha*G111+(1+alpha)/2*(F112-F111),0)</f>
        <v>3.982799224799121E-2</v>
      </c>
      <c r="H112" s="1">
        <f t="shared" si="6"/>
        <v>0.56847291355743457</v>
      </c>
    </row>
    <row r="113" spans="1:8" x14ac:dyDescent="0.35">
      <c r="A113" s="3">
        <f t="shared" si="7"/>
        <v>43911</v>
      </c>
      <c r="B113" s="1">
        <v>0.88187669220646747</v>
      </c>
      <c r="C113" s="1">
        <f>MAX(alpha*C112+(1+alpha)/2*(B113-B112),0)</f>
        <v>0.21332348858777406</v>
      </c>
      <c r="D113" s="1">
        <f t="shared" si="4"/>
        <v>0.66855320361869341</v>
      </c>
      <c r="E113" s="1">
        <f>MAX(alpha*E114+(1+alpha)/2*(D113-D114),0)</f>
        <v>6.3718623526427598E-2</v>
      </c>
      <c r="F113" s="1">
        <f t="shared" si="5"/>
        <v>0.60483458009226587</v>
      </c>
      <c r="G113" s="1">
        <f>MAX(alpha*G112+(1+alpha)/2*(F113-F112),0)</f>
        <v>3.3504554330475514E-2</v>
      </c>
      <c r="H113" s="1">
        <f t="shared" si="6"/>
        <v>0.57133002576179037</v>
      </c>
    </row>
    <row r="114" spans="1:8" x14ac:dyDescent="0.35">
      <c r="A114" s="3">
        <f t="shared" si="7"/>
        <v>43912</v>
      </c>
      <c r="B114" s="1">
        <v>0.80486804622803731</v>
      </c>
      <c r="C114" s="1">
        <f>MAX(alpha*C113+(1+alpha)/2*(B114-B113),0)</f>
        <v>0.12320340518945198</v>
      </c>
      <c r="D114" s="1">
        <f t="shared" si="4"/>
        <v>0.68166464103858537</v>
      </c>
      <c r="E114" s="1">
        <f>MAX(alpha*E115+(1+alpha)/2*(D114-D115),0)</f>
        <v>8.25279805871066E-2</v>
      </c>
      <c r="F114" s="1">
        <f t="shared" si="5"/>
        <v>0.59913666045147873</v>
      </c>
      <c r="G114" s="1">
        <f>MAX(alpha*G113+(1+alpha)/2*(F114-F113),0)</f>
        <v>2.5507465101432227E-2</v>
      </c>
      <c r="H114" s="1">
        <f t="shared" si="6"/>
        <v>0.57362919535004653</v>
      </c>
    </row>
    <row r="115" spans="1:8" x14ac:dyDescent="0.35">
      <c r="A115" s="3">
        <f t="shared" si="7"/>
        <v>43913</v>
      </c>
      <c r="B115" s="1">
        <v>0.77390990097075052</v>
      </c>
      <c r="C115" s="1">
        <f>MAX(alpha*C114+(1+alpha)/2*(B115-B114),0)</f>
        <v>8.4165934990104552E-2</v>
      </c>
      <c r="D115" s="1">
        <f t="shared" si="4"/>
        <v>0.68974396598064591</v>
      </c>
      <c r="E115" s="1">
        <f>MAX(alpha*E116+(1+alpha)/2*(D115-D116),0)</f>
        <v>9.7626303614962023E-2</v>
      </c>
      <c r="F115" s="1">
        <f t="shared" si="5"/>
        <v>0.59211766236568386</v>
      </c>
      <c r="G115" s="1">
        <f>MAX(alpha*G114+(1+alpha)/2*(F115-F114),0)</f>
        <v>1.6838619561247249E-2</v>
      </c>
      <c r="H115" s="1">
        <f t="shared" si="6"/>
        <v>0.57527904280443665</v>
      </c>
    </row>
    <row r="116" spans="1:8" x14ac:dyDescent="0.35">
      <c r="A116" s="3">
        <f t="shared" si="7"/>
        <v>43914</v>
      </c>
      <c r="B116" s="1">
        <v>0.70228570370193377</v>
      </c>
      <c r="C116" s="1">
        <f>MAX(alpha*C115+(1+alpha)/2*(B116-B115),0)</f>
        <v>8.915199994610587E-3</v>
      </c>
      <c r="D116" s="1">
        <f t="shared" si="4"/>
        <v>0.69337050370732323</v>
      </c>
      <c r="E116" s="1">
        <f>MAX(alpha*E117+(1+alpha)/2*(D116-D117),0)</f>
        <v>0.10931550938042048</v>
      </c>
      <c r="F116" s="1">
        <f t="shared" si="5"/>
        <v>0.58405499432690278</v>
      </c>
      <c r="G116" s="1">
        <f>MAX(alpha*G115+(1+alpha)/2*(F116-F115),0)</f>
        <v>7.8154051068269129E-3</v>
      </c>
      <c r="H116" s="1">
        <f t="shared" si="6"/>
        <v>0.5762395892200759</v>
      </c>
    </row>
    <row r="117" spans="1:8" x14ac:dyDescent="0.35">
      <c r="A117" s="3">
        <f t="shared" si="7"/>
        <v>43915</v>
      </c>
      <c r="B117" s="1">
        <v>0.65792219249389783</v>
      </c>
      <c r="C117" s="1">
        <f>MAX(alpha*C116+(1+alpha)/2*(B117-B116),0)</f>
        <v>0</v>
      </c>
      <c r="D117" s="1">
        <f t="shared" si="4"/>
        <v>0.65792219249389783</v>
      </c>
      <c r="E117" s="1">
        <f>MAX(alpha*E118+(1+alpha)/2*(D117-D118),0)</f>
        <v>8.1293524148647045E-2</v>
      </c>
      <c r="F117" s="1">
        <f t="shared" si="5"/>
        <v>0.57662866834525084</v>
      </c>
      <c r="G117" s="1">
        <f>MAX(alpha*G116+(1+alpha)/2*(F117-F116),0)</f>
        <v>8.141096647490409E-5</v>
      </c>
      <c r="H117" s="1">
        <f t="shared" si="6"/>
        <v>0.57654725737877599</v>
      </c>
    </row>
    <row r="118" spans="1:8" x14ac:dyDescent="0.35">
      <c r="A118" s="3">
        <f t="shared" si="7"/>
        <v>43916</v>
      </c>
      <c r="B118" s="1">
        <v>0.6100041432717298</v>
      </c>
      <c r="C118" s="1">
        <f>MAX(alpha*C117+(1+alpha)/2*(B118-B117),0)</f>
        <v>0</v>
      </c>
      <c r="D118" s="1">
        <f t="shared" si="4"/>
        <v>0.6100041432717298</v>
      </c>
      <c r="E118" s="1">
        <f>MAX(alpha*E119+(1+alpha)/2*(D118-D119),0)</f>
        <v>3.8024218132227373E-2</v>
      </c>
      <c r="F118" s="1">
        <f t="shared" si="5"/>
        <v>0.57197992513950247</v>
      </c>
      <c r="G118" s="1">
        <f>MAX(alpha*G117+(1+alpha)/2*(F118-F117),0)</f>
        <v>0</v>
      </c>
      <c r="H118" s="1">
        <f t="shared" si="6"/>
        <v>0.57197992513950247</v>
      </c>
    </row>
    <row r="119" spans="1:8" x14ac:dyDescent="0.35">
      <c r="A119" s="3">
        <f t="shared" si="7"/>
        <v>43917</v>
      </c>
      <c r="B119" s="1">
        <v>0.57458300462477951</v>
      </c>
      <c r="C119" s="1">
        <f>MAX(alpha*C118+(1+alpha)/2*(B119-B118),0)</f>
        <v>0</v>
      </c>
      <c r="D119" s="1">
        <f t="shared" si="4"/>
        <v>0.57458300462477951</v>
      </c>
      <c r="E119" s="1">
        <f>MAX(alpha*E120+(1+alpha)/2*(D119-D120),0)</f>
        <v>4.2501320913921302E-3</v>
      </c>
      <c r="F119" s="1">
        <f t="shared" si="5"/>
        <v>0.57033287253338738</v>
      </c>
      <c r="G119" s="1">
        <f>MAX(alpha*G118+(1+alpha)/2*(F119-F118),0)</f>
        <v>0</v>
      </c>
      <c r="H119" s="1">
        <f t="shared" si="6"/>
        <v>0.57033287253338738</v>
      </c>
    </row>
    <row r="120" spans="1:8" x14ac:dyDescent="0.35">
      <c r="A120" s="3">
        <f t="shared" si="7"/>
        <v>43918</v>
      </c>
      <c r="B120" s="1">
        <v>1.4076920058263178</v>
      </c>
      <c r="C120" s="1">
        <f>MAX(alpha*C119+(1+alpha)/2*(B120-B119),0)</f>
        <v>0.80186741365648062</v>
      </c>
      <c r="D120" s="1">
        <f t="shared" si="4"/>
        <v>0.60582459216983719</v>
      </c>
      <c r="E120" s="1">
        <f>MAX(alpha*E121+(1+alpha)/2*(D120-D121),0)</f>
        <v>3.7102875787578538E-2</v>
      </c>
      <c r="F120" s="1">
        <f t="shared" si="5"/>
        <v>0.56872171638225866</v>
      </c>
      <c r="G120" s="1">
        <f>MAX(alpha*G119+(1+alpha)/2*(F120-F119),0)</f>
        <v>0</v>
      </c>
      <c r="H120" s="1">
        <f t="shared" si="6"/>
        <v>0.56872171638225866</v>
      </c>
    </row>
    <row r="121" spans="1:8" x14ac:dyDescent="0.35">
      <c r="A121" s="3">
        <f t="shared" si="7"/>
        <v>43919</v>
      </c>
      <c r="B121" s="1">
        <v>1.6521449367513892</v>
      </c>
      <c r="C121" s="1">
        <f>MAX(alpha*C120+(1+alpha)/2*(B121-B120),0)</f>
        <v>0.97701330364762584</v>
      </c>
      <c r="D121" s="1">
        <f t="shared" si="4"/>
        <v>0.67513163310376334</v>
      </c>
      <c r="E121" s="1">
        <f>MAX(alpha*E122+(1+alpha)/2*(D121-D122),0)</f>
        <v>0.11222800290430535</v>
      </c>
      <c r="F121" s="1">
        <f t="shared" si="5"/>
        <v>0.56290363019945799</v>
      </c>
      <c r="G121" s="1">
        <f>MAX(alpha*G120+(1+alpha)/2*(F121-F120),0)</f>
        <v>0</v>
      </c>
      <c r="H121" s="1">
        <f t="shared" si="6"/>
        <v>0.56290363019945799</v>
      </c>
    </row>
    <row r="122" spans="1:8" x14ac:dyDescent="0.35">
      <c r="A122" s="3">
        <f t="shared" si="7"/>
        <v>43920</v>
      </c>
      <c r="B122" s="1">
        <v>1.0129065741265137</v>
      </c>
      <c r="C122" s="1">
        <f>MAX(alpha*C121+(1+alpha)/2*(B122-B121),0)</f>
        <v>0.28847038184761131</v>
      </c>
      <c r="D122" s="1">
        <f t="shared" si="4"/>
        <v>0.72443619227890244</v>
      </c>
      <c r="E122" s="1">
        <f>MAX(alpha*E123+(1+alpha)/2*(D122-D123),0)</f>
        <v>0.17263096336256942</v>
      </c>
      <c r="F122" s="1">
        <f t="shared" si="5"/>
        <v>0.55180522891633299</v>
      </c>
      <c r="G122" s="1">
        <f>MAX(alpha*G121+(1+alpha)/2*(F122-F121),0)</f>
        <v>0</v>
      </c>
      <c r="H122" s="1">
        <f t="shared" si="6"/>
        <v>0.55180522891633299</v>
      </c>
    </row>
    <row r="123" spans="1:8" x14ac:dyDescent="0.35">
      <c r="A123" s="3">
        <f t="shared" si="7"/>
        <v>43921</v>
      </c>
      <c r="B123" s="1">
        <v>0.84679104395296145</v>
      </c>
      <c r="C123" s="1">
        <f>MAX(alpha*C122+(1+alpha)/2*(B123-B122),0)</f>
        <v>0.10694890541699639</v>
      </c>
      <c r="D123" s="1">
        <f t="shared" si="4"/>
        <v>0.73984213853596503</v>
      </c>
      <c r="E123" s="1">
        <f>MAX(alpha*E124+(1+alpha)/2*(D123-D124),0)</f>
        <v>0.20265858014593746</v>
      </c>
      <c r="F123" s="1">
        <f t="shared" si="5"/>
        <v>0.53718355839002752</v>
      </c>
      <c r="G123" s="1">
        <f>MAX(alpha*G122+(1+alpha)/2*(F123-F122),0)</f>
        <v>0</v>
      </c>
      <c r="H123" s="1">
        <f t="shared" si="6"/>
        <v>0.53718355839002752</v>
      </c>
    </row>
    <row r="124" spans="1:8" x14ac:dyDescent="0.35">
      <c r="A124" s="3">
        <f t="shared" si="7"/>
        <v>43922</v>
      </c>
      <c r="B124" s="1">
        <v>0.7492055275600612</v>
      </c>
      <c r="C124" s="1">
        <f>MAX(alpha*C123+(1+alpha)/2*(B124-B123),0)</f>
        <v>5.0016779825551722E-3</v>
      </c>
      <c r="D124" s="1">
        <f t="shared" si="4"/>
        <v>0.74420384957750607</v>
      </c>
      <c r="E124" s="1">
        <f>MAX(alpha*E125+(1+alpha)/2*(D124-D125),0)</f>
        <v>0.22362889407937372</v>
      </c>
      <c r="F124" s="1">
        <f t="shared" si="5"/>
        <v>0.52057495549813237</v>
      </c>
      <c r="G124" s="1">
        <f>MAX(alpha*G123+(1+alpha)/2*(F124-F123),0)</f>
        <v>0</v>
      </c>
      <c r="H124" s="1">
        <f t="shared" si="6"/>
        <v>0.52057495549813237</v>
      </c>
    </row>
    <row r="125" spans="1:8" x14ac:dyDescent="0.35">
      <c r="A125" s="3">
        <f t="shared" si="7"/>
        <v>43923</v>
      </c>
      <c r="B125" s="1">
        <v>0.68201897983492132</v>
      </c>
      <c r="C125" s="1">
        <f>MAX(alpha*C124+(1+alpha)/2*(B125-B124),0)</f>
        <v>0</v>
      </c>
      <c r="D125" s="1">
        <f t="shared" si="4"/>
        <v>0.68201897983492132</v>
      </c>
      <c r="E125" s="1">
        <f>MAX(alpha*E126+(1+alpha)/2*(D125-D126),0)</f>
        <v>0.17705508859690366</v>
      </c>
      <c r="F125" s="1">
        <f t="shared" si="5"/>
        <v>0.50496389123801766</v>
      </c>
      <c r="G125" s="1">
        <f>MAX(alpha*G124+(1+alpha)/2*(F125-F124),0)</f>
        <v>0</v>
      </c>
      <c r="H125" s="1">
        <f t="shared" si="6"/>
        <v>0.50496389123801766</v>
      </c>
    </row>
    <row r="126" spans="1:8" x14ac:dyDescent="0.35">
      <c r="A126" s="3">
        <f t="shared" si="7"/>
        <v>43924</v>
      </c>
      <c r="B126" s="1">
        <v>0.63081292145514001</v>
      </c>
      <c r="C126" s="1">
        <f>MAX(alpha*C125+(1+alpha)/2*(B126-B125),0)</f>
        <v>0</v>
      </c>
      <c r="D126" s="1">
        <f t="shared" si="4"/>
        <v>0.63081292145514001</v>
      </c>
      <c r="E126" s="1">
        <f>MAX(alpha*E127+(1+alpha)/2*(D126-D127),0)</f>
        <v>0.13812892692579906</v>
      </c>
      <c r="F126" s="1">
        <f t="shared" si="5"/>
        <v>0.49268399452934097</v>
      </c>
      <c r="G126" s="1">
        <f>MAX(alpha*G125+(1+alpha)/2*(F126-F125),0)</f>
        <v>0</v>
      </c>
      <c r="H126" s="1">
        <f t="shared" si="6"/>
        <v>0.49268399452934097</v>
      </c>
    </row>
    <row r="127" spans="1:8" x14ac:dyDescent="0.35">
      <c r="A127" s="3">
        <f t="shared" si="7"/>
        <v>43925</v>
      </c>
      <c r="B127" s="1">
        <v>0.65536854139367839</v>
      </c>
      <c r="C127" s="1">
        <f>MAX(alpha*C126+(1+alpha)/2*(B127-B126),0)</f>
        <v>2.3634784190843198E-2</v>
      </c>
      <c r="D127" s="1">
        <f t="shared" si="4"/>
        <v>0.6317337572028352</v>
      </c>
      <c r="E127" s="1">
        <f>MAX(alpha*E128+(1+alpha)/2*(D127-D128),0)</f>
        <v>0.15028673657616828</v>
      </c>
      <c r="F127" s="1">
        <f t="shared" si="5"/>
        <v>0.48144702062666689</v>
      </c>
      <c r="G127" s="1">
        <f>MAX(alpha*G126+(1+alpha)/2*(F127-F126),0)</f>
        <v>0</v>
      </c>
      <c r="H127" s="1">
        <f t="shared" si="6"/>
        <v>0.48144702062666689</v>
      </c>
    </row>
    <row r="128" spans="1:8" x14ac:dyDescent="0.35">
      <c r="A128" s="3">
        <f t="shared" si="7"/>
        <v>43926</v>
      </c>
      <c r="B128" s="1">
        <v>0.59025468657163305</v>
      </c>
      <c r="C128" s="1">
        <f>MAX(alpha*C127+(1+alpha)/2*(B128-B127),0)</f>
        <v>0</v>
      </c>
      <c r="D128" s="1">
        <f t="shared" si="4"/>
        <v>0.59025468657163305</v>
      </c>
      <c r="E128" s="1">
        <f>MAX(alpha*E129+(1+alpha)/2*(D128-D129),0)</f>
        <v>0.1193114930742013</v>
      </c>
      <c r="F128" s="1">
        <f t="shared" si="5"/>
        <v>0.47094319349743174</v>
      </c>
      <c r="G128" s="1">
        <f>MAX(alpha*G127+(1+alpha)/2*(F128-F127),0)</f>
        <v>0</v>
      </c>
      <c r="H128" s="1">
        <f t="shared" si="6"/>
        <v>0.47094319349743174</v>
      </c>
    </row>
    <row r="129" spans="1:8" x14ac:dyDescent="0.35">
      <c r="A129" s="3">
        <f t="shared" si="7"/>
        <v>43927</v>
      </c>
      <c r="B129" s="1">
        <v>0.54707884300224874</v>
      </c>
      <c r="C129" s="1">
        <f>MAX(alpha*C128+(1+alpha)/2*(B129-B128),0)</f>
        <v>0</v>
      </c>
      <c r="D129" s="1">
        <f t="shared" si="4"/>
        <v>0.54707884300224874</v>
      </c>
      <c r="E129" s="1">
        <f>MAX(alpha*E130+(1+alpha)/2*(D129-D130),0)</f>
        <v>8.4059182312074474E-2</v>
      </c>
      <c r="F129" s="1">
        <f t="shared" si="5"/>
        <v>0.46301966069017425</v>
      </c>
      <c r="G129" s="1">
        <f>MAX(alpha*G128+(1+alpha)/2*(F129-F128),0)</f>
        <v>0</v>
      </c>
      <c r="H129" s="1">
        <f t="shared" si="6"/>
        <v>0.46301966069017425</v>
      </c>
    </row>
    <row r="130" spans="1:8" x14ac:dyDescent="0.35">
      <c r="A130" s="3">
        <f t="shared" si="7"/>
        <v>43928</v>
      </c>
      <c r="B130" s="1">
        <v>0.55899870659998718</v>
      </c>
      <c r="C130" s="1">
        <f>MAX(alpha*C129+(1+alpha)/2*(B130-B129),0)</f>
        <v>1.1472868712823254E-2</v>
      </c>
      <c r="D130" s="1">
        <f t="shared" si="4"/>
        <v>0.54752583788716391</v>
      </c>
      <c r="E130" s="1">
        <f>MAX(alpha*E131+(1+alpha)/2*(D130-D131),0)</f>
        <v>9.1339907987897651E-2</v>
      </c>
      <c r="F130" s="1">
        <f t="shared" si="5"/>
        <v>0.45618592989926626</v>
      </c>
      <c r="G130" s="1">
        <f>MAX(alpha*G129+(1+alpha)/2*(F130-F129),0)</f>
        <v>0</v>
      </c>
      <c r="H130" s="1">
        <f t="shared" si="6"/>
        <v>0.45618592989926626</v>
      </c>
    </row>
    <row r="131" spans="1:8" x14ac:dyDescent="0.35">
      <c r="A131" s="3">
        <f t="shared" si="7"/>
        <v>43929</v>
      </c>
      <c r="B131" s="1">
        <v>0.64744134616176818</v>
      </c>
      <c r="C131" s="1">
        <f>MAX(alpha*C130+(1+alpha)/2*(B131-B130),0)</f>
        <v>9.5738444137575721E-2</v>
      </c>
      <c r="D131" s="1">
        <f t="shared" si="4"/>
        <v>0.55170290202419248</v>
      </c>
      <c r="E131" s="1">
        <f>MAX(alpha*E132+(1+alpha)/2*(D131-D132),0)</f>
        <v>0.10309225104841907</v>
      </c>
      <c r="F131" s="1">
        <f t="shared" si="5"/>
        <v>0.44861065097577341</v>
      </c>
      <c r="G131" s="1">
        <f>MAX(alpha*G130+(1+alpha)/2*(F131-F130),0)</f>
        <v>0</v>
      </c>
      <c r="H131" s="1">
        <f t="shared" si="6"/>
        <v>0.44861065097577341</v>
      </c>
    </row>
    <row r="132" spans="1:8" x14ac:dyDescent="0.35">
      <c r="A132" s="3">
        <f t="shared" si="7"/>
        <v>43930</v>
      </c>
      <c r="B132" s="1">
        <v>0.64125333853712307</v>
      </c>
      <c r="C132" s="1">
        <f>MAX(alpha*C131+(1+alpha)/2*(B132-B131),0)</f>
        <v>8.2602103488536638E-2</v>
      </c>
      <c r="D132" s="1">
        <f t="shared" ref="D132:D195" si="8">B132-C132</f>
        <v>0.55865123504858638</v>
      </c>
      <c r="E132" s="1">
        <f>MAX(alpha*E133+(1+alpha)/2*(D132-D133),0)</f>
        <v>0.11868110441556562</v>
      </c>
      <c r="F132" s="1">
        <f t="shared" ref="F132:F195" si="9">D132-E132</f>
        <v>0.43997013063302076</v>
      </c>
      <c r="G132" s="1">
        <f>MAX(alpha*G131+(1+alpha)/2*(F132-F131),0)</f>
        <v>0</v>
      </c>
      <c r="H132" s="1">
        <f t="shared" ref="H132:H195" si="10">F132-G132</f>
        <v>0.43997013063302076</v>
      </c>
    </row>
    <row r="133" spans="1:8" x14ac:dyDescent="0.35">
      <c r="A133" s="3">
        <f t="shared" si="7"/>
        <v>43931</v>
      </c>
      <c r="B133" s="1">
        <v>0.541806562010273</v>
      </c>
      <c r="C133" s="1">
        <f>MAX(alpha*C132+(1+alpha)/2*(B133-B132),0)</f>
        <v>0</v>
      </c>
      <c r="D133" s="1">
        <f t="shared" si="8"/>
        <v>0.541806562010273</v>
      </c>
      <c r="E133" s="1">
        <f>MAX(alpha*E134+(1+alpha)/2*(D133-D134),0)</f>
        <v>0.11077633147696106</v>
      </c>
      <c r="F133" s="1">
        <f t="shared" si="9"/>
        <v>0.43103023053331191</v>
      </c>
      <c r="G133" s="1">
        <f>MAX(alpha*G132+(1+alpha)/2*(F133-F132),0)</f>
        <v>0</v>
      </c>
      <c r="H133" s="1">
        <f t="shared" si="10"/>
        <v>0.43103023053331191</v>
      </c>
    </row>
    <row r="134" spans="1:8" x14ac:dyDescent="0.35">
      <c r="A134" s="3">
        <f t="shared" si="7"/>
        <v>43932</v>
      </c>
      <c r="B134" s="1">
        <v>0.50351313759501393</v>
      </c>
      <c r="C134" s="1">
        <f>MAX(alpha*C133+(1+alpha)/2*(B134-B133),0)</f>
        <v>0</v>
      </c>
      <c r="D134" s="1">
        <f t="shared" si="8"/>
        <v>0.50351313759501393</v>
      </c>
      <c r="E134" s="1">
        <f>MAX(alpha*E135+(1+alpha)/2*(D134-D135),0)</f>
        <v>7.9912335651107252E-2</v>
      </c>
      <c r="F134" s="1">
        <f t="shared" si="9"/>
        <v>0.4236008019439067</v>
      </c>
      <c r="G134" s="1">
        <f>MAX(alpha*G133+(1+alpha)/2*(F134-F133),0)</f>
        <v>0</v>
      </c>
      <c r="H134" s="1">
        <f t="shared" si="10"/>
        <v>0.4236008019439067</v>
      </c>
    </row>
    <row r="135" spans="1:8" x14ac:dyDescent="0.35">
      <c r="A135" s="3">
        <f t="shared" si="7"/>
        <v>43933</v>
      </c>
      <c r="B135" s="1">
        <v>0.50393633190379927</v>
      </c>
      <c r="C135" s="1">
        <f>MAX(alpha*C134+(1+alpha)/2*(B135-B134),0)</f>
        <v>4.073245222058958E-4</v>
      </c>
      <c r="D135" s="1">
        <f t="shared" si="8"/>
        <v>0.50352900738159334</v>
      </c>
      <c r="E135" s="1">
        <f>MAX(alpha*E136+(1+alpha)/2*(D135-D136),0)</f>
        <v>8.6408227373718852E-2</v>
      </c>
      <c r="F135" s="1">
        <f t="shared" si="9"/>
        <v>0.4171207800078745</v>
      </c>
      <c r="G135" s="1">
        <f>MAX(alpha*G134+(1+alpha)/2*(F135-F134),0)</f>
        <v>0</v>
      </c>
      <c r="H135" s="1">
        <f t="shared" si="10"/>
        <v>0.4171207800078745</v>
      </c>
    </row>
    <row r="136" spans="1:8" x14ac:dyDescent="0.35">
      <c r="A136" s="3">
        <f t="shared" si="7"/>
        <v>43934</v>
      </c>
      <c r="B136" s="1">
        <v>0.60967210167584718</v>
      </c>
      <c r="C136" s="1">
        <f>MAX(alpha*C135+(1+alpha)/2*(B136-B135),0)</f>
        <v>0.10214745358863657</v>
      </c>
      <c r="D136" s="1">
        <f t="shared" si="8"/>
        <v>0.50752464808721065</v>
      </c>
      <c r="E136" s="1">
        <f>MAX(alpha*E137+(1+alpha)/2*(D136-D137),0)</f>
        <v>9.7571926003108655E-2</v>
      </c>
      <c r="F136" s="1">
        <f t="shared" si="9"/>
        <v>0.40995272208410199</v>
      </c>
      <c r="G136" s="1">
        <f>MAX(alpha*G135+(1+alpha)/2*(F136-F135),0)</f>
        <v>0</v>
      </c>
      <c r="H136" s="1">
        <f t="shared" si="10"/>
        <v>0.40995272208410199</v>
      </c>
    </row>
    <row r="137" spans="1:8" x14ac:dyDescent="0.35">
      <c r="A137" s="3">
        <f t="shared" si="7"/>
        <v>43935</v>
      </c>
      <c r="B137" s="1">
        <v>0.49393861507341597</v>
      </c>
      <c r="C137" s="1">
        <f>MAX(alpha*C136+(1+alpha)/2*(B137-B136),0)</f>
        <v>0</v>
      </c>
      <c r="D137" s="1">
        <f t="shared" si="8"/>
        <v>0.49393861507341597</v>
      </c>
      <c r="E137" s="1">
        <f>MAX(alpha*E138+(1+alpha)/2*(D137-D138),0)</f>
        <v>9.1346345110628391E-2</v>
      </c>
      <c r="F137" s="1">
        <f t="shared" si="9"/>
        <v>0.40259226996278757</v>
      </c>
      <c r="G137" s="1">
        <f>MAX(alpha*G136+(1+alpha)/2*(F137-F136),0)</f>
        <v>0</v>
      </c>
      <c r="H137" s="1">
        <f t="shared" si="10"/>
        <v>0.40259226996278757</v>
      </c>
    </row>
    <row r="138" spans="1:8" x14ac:dyDescent="0.35">
      <c r="A138" s="3">
        <f t="shared" si="7"/>
        <v>43936</v>
      </c>
      <c r="B138" s="1">
        <v>0.46721191018726421</v>
      </c>
      <c r="C138" s="1">
        <f>MAX(alpha*C137+(1+alpha)/2*(B138-B137),0)</f>
        <v>0</v>
      </c>
      <c r="D138" s="1">
        <f t="shared" si="8"/>
        <v>0.46721191018726421</v>
      </c>
      <c r="E138" s="1">
        <f>MAX(alpha*E139+(1+alpha)/2*(D138-D139),0)</f>
        <v>7.0942585575899816E-2</v>
      </c>
      <c r="F138" s="1">
        <f t="shared" si="9"/>
        <v>0.39626932461136438</v>
      </c>
      <c r="G138" s="1">
        <f>MAX(alpha*G137+(1+alpha)/2*(F138-F137),0)</f>
        <v>0</v>
      </c>
      <c r="H138" s="1">
        <f t="shared" si="10"/>
        <v>0.39626932461136438</v>
      </c>
    </row>
    <row r="139" spans="1:8" x14ac:dyDescent="0.35">
      <c r="A139" s="3">
        <f t="shared" si="7"/>
        <v>43937</v>
      </c>
      <c r="B139" s="1">
        <v>0.44446209803551556</v>
      </c>
      <c r="C139" s="1">
        <f>MAX(alpha*C138+(1+alpha)/2*(B139-B138),0)</f>
        <v>0</v>
      </c>
      <c r="D139" s="1">
        <f t="shared" si="8"/>
        <v>0.44446209803551556</v>
      </c>
      <c r="E139" s="1">
        <f>MAX(alpha*E140+(1+alpha)/2*(D139-D140),0)</f>
        <v>5.3022585275504575E-2</v>
      </c>
      <c r="F139" s="1">
        <f t="shared" si="9"/>
        <v>0.39143951276001099</v>
      </c>
      <c r="G139" s="1">
        <f>MAX(alpha*G138+(1+alpha)/2*(F139-F138),0)</f>
        <v>0</v>
      </c>
      <c r="H139" s="1">
        <f t="shared" si="10"/>
        <v>0.39143951276001099</v>
      </c>
    </row>
    <row r="140" spans="1:8" x14ac:dyDescent="0.35">
      <c r="A140" s="3">
        <f t="shared" si="7"/>
        <v>43938</v>
      </c>
      <c r="B140" s="1">
        <v>0.43934311843657636</v>
      </c>
      <c r="C140" s="1">
        <f>MAX(alpha*C139+(1+alpha)/2*(B140-B139),0)</f>
        <v>0</v>
      </c>
      <c r="D140" s="1">
        <f t="shared" si="8"/>
        <v>0.43934311843657636</v>
      </c>
      <c r="E140" s="1">
        <f>MAX(alpha*E141+(1+alpha)/2*(D140-D141),0)</f>
        <v>5.1995208012460103E-2</v>
      </c>
      <c r="F140" s="1">
        <f t="shared" si="9"/>
        <v>0.38734791042411626</v>
      </c>
      <c r="G140" s="1">
        <f>MAX(alpha*G139+(1+alpha)/2*(F140-F139),0)</f>
        <v>0</v>
      </c>
      <c r="H140" s="1">
        <f t="shared" si="10"/>
        <v>0.38734791042411626</v>
      </c>
    </row>
    <row r="141" spans="1:8" x14ac:dyDescent="0.35">
      <c r="A141" s="3">
        <f t="shared" si="7"/>
        <v>43939</v>
      </c>
      <c r="B141" s="1">
        <v>0.4286062726701379</v>
      </c>
      <c r="C141" s="1">
        <f>MAX(alpha*C140+(1+alpha)/2*(B141-B140),0)</f>
        <v>0</v>
      </c>
      <c r="D141" s="1">
        <f t="shared" si="8"/>
        <v>0.4286062726701379</v>
      </c>
      <c r="E141" s="1">
        <f>MAX(alpha*E142+(1+alpha)/2*(D141-D142),0)</f>
        <v>4.5038912391635759E-2</v>
      </c>
      <c r="F141" s="1">
        <f t="shared" si="9"/>
        <v>0.38356736027850213</v>
      </c>
      <c r="G141" s="1">
        <f>MAX(alpha*G140+(1+alpha)/2*(F141-F140),0)</f>
        <v>0</v>
      </c>
      <c r="H141" s="1">
        <f t="shared" si="10"/>
        <v>0.38356736027850213</v>
      </c>
    </row>
    <row r="142" spans="1:8" x14ac:dyDescent="0.35">
      <c r="A142" s="3">
        <f t="shared" si="7"/>
        <v>43940</v>
      </c>
      <c r="B142" s="1">
        <v>0.41394935395766358</v>
      </c>
      <c r="C142" s="1">
        <f>MAX(alpha*C141+(1+alpha)/2*(B142-B141),0)</f>
        <v>0</v>
      </c>
      <c r="D142" s="1">
        <f t="shared" si="8"/>
        <v>0.41394935395766358</v>
      </c>
      <c r="E142" s="1">
        <f>MAX(alpha*E143+(1+alpha)/2*(D142-D143),0)</f>
        <v>3.343959797932889E-2</v>
      </c>
      <c r="F142" s="1">
        <f t="shared" si="9"/>
        <v>0.3805097559783347</v>
      </c>
      <c r="G142" s="1">
        <f>MAX(alpha*G141+(1+alpha)/2*(F142-F141),0)</f>
        <v>0</v>
      </c>
      <c r="H142" s="1">
        <f t="shared" si="10"/>
        <v>0.3805097559783347</v>
      </c>
    </row>
    <row r="143" spans="1:8" x14ac:dyDescent="0.35">
      <c r="A143" s="3">
        <f t="shared" si="7"/>
        <v>43941</v>
      </c>
      <c r="B143" s="1">
        <v>0.41266230016667244</v>
      </c>
      <c r="C143" s="1">
        <f>MAX(alpha*C142+(1+alpha)/2*(B143-B142),0)</f>
        <v>0</v>
      </c>
      <c r="D143" s="1">
        <f t="shared" si="8"/>
        <v>0.41266230016667244</v>
      </c>
      <c r="E143" s="1">
        <f>MAX(alpha*E144+(1+alpha)/2*(D143-D144),0)</f>
        <v>3.4811685087026929E-2</v>
      </c>
      <c r="F143" s="1">
        <f t="shared" si="9"/>
        <v>0.37785061507964551</v>
      </c>
      <c r="G143" s="1">
        <f>MAX(alpha*G142+(1+alpha)/2*(F143-F142),0)</f>
        <v>0</v>
      </c>
      <c r="H143" s="1">
        <f t="shared" si="10"/>
        <v>0.37785061507964551</v>
      </c>
    </row>
    <row r="144" spans="1:8" x14ac:dyDescent="0.35">
      <c r="A144" s="3">
        <f t="shared" si="7"/>
        <v>43942</v>
      </c>
      <c r="B144" s="1">
        <v>0.41202110384393337</v>
      </c>
      <c r="C144" s="1">
        <f>MAX(alpha*C143+(1+alpha)/2*(B144-B143),0)</f>
        <v>0</v>
      </c>
      <c r="D144" s="1">
        <f t="shared" si="8"/>
        <v>0.41202110384393337</v>
      </c>
      <c r="E144" s="1">
        <f>MAX(alpha*E145+(1+alpha)/2*(D144-D145),0)</f>
        <v>3.6967063379881704E-2</v>
      </c>
      <c r="F144" s="1">
        <f t="shared" si="9"/>
        <v>0.37505404046405166</v>
      </c>
      <c r="G144" s="1">
        <f>MAX(alpha*G143+(1+alpha)/2*(F144-F143),0)</f>
        <v>0</v>
      </c>
      <c r="H144" s="1">
        <f t="shared" si="10"/>
        <v>0.37505404046405166</v>
      </c>
    </row>
    <row r="145" spans="1:8" x14ac:dyDescent="0.35">
      <c r="A145" s="3">
        <f t="shared" si="7"/>
        <v>43943</v>
      </c>
      <c r="B145" s="1">
        <v>0.39926408483107673</v>
      </c>
      <c r="C145" s="1">
        <f>MAX(alpha*C144+(1+alpha)/2*(B145-B144),0)</f>
        <v>0</v>
      </c>
      <c r="D145" s="1">
        <f t="shared" si="8"/>
        <v>0.39926408483107673</v>
      </c>
      <c r="E145" s="1">
        <f>MAX(alpha*E146+(1+alpha)/2*(D145-D146),0)</f>
        <v>2.6690197383791549E-2</v>
      </c>
      <c r="F145" s="1">
        <f t="shared" si="9"/>
        <v>0.3725738874472852</v>
      </c>
      <c r="G145" s="1">
        <f>MAX(alpha*G144+(1+alpha)/2*(F145-F144),0)</f>
        <v>0</v>
      </c>
      <c r="H145" s="1">
        <f t="shared" si="10"/>
        <v>0.3725738874472852</v>
      </c>
    </row>
    <row r="146" spans="1:8" x14ac:dyDescent="0.35">
      <c r="A146" s="3">
        <f t="shared" si="7"/>
        <v>43944</v>
      </c>
      <c r="B146" s="1">
        <v>0.38036741372404176</v>
      </c>
      <c r="C146" s="1">
        <f>MAX(alpha*C145+(1+alpha)/2*(B146-B145),0)</f>
        <v>0</v>
      </c>
      <c r="D146" s="1">
        <f t="shared" si="8"/>
        <v>0.38036741372404176</v>
      </c>
      <c r="E146" s="1">
        <f>MAX(alpha*E147+(1+alpha)/2*(D146-D147),0)</f>
        <v>9.1915150738058286E-3</v>
      </c>
      <c r="F146" s="1">
        <f t="shared" si="9"/>
        <v>0.37117589865023592</v>
      </c>
      <c r="G146" s="1">
        <f>MAX(alpha*G145+(1+alpha)/2*(F146-F145),0)</f>
        <v>0</v>
      </c>
      <c r="H146" s="1">
        <f t="shared" si="10"/>
        <v>0.37117589865023592</v>
      </c>
    </row>
    <row r="147" spans="1:8" x14ac:dyDescent="0.35">
      <c r="A147" s="3">
        <f t="shared" si="7"/>
        <v>43945</v>
      </c>
      <c r="B147" s="1">
        <v>0.37199439705109233</v>
      </c>
      <c r="C147" s="1">
        <f>MAX(alpha*C146+(1+alpha)/2*(B147-B146),0)</f>
        <v>0</v>
      </c>
      <c r="D147" s="1">
        <f t="shared" si="8"/>
        <v>0.37199439705109233</v>
      </c>
      <c r="E147" s="1">
        <f>MAX(alpha*E148+(1+alpha)/2*(D147-D148),0)</f>
        <v>1.2243097579372995E-3</v>
      </c>
      <c r="F147" s="1">
        <f t="shared" si="9"/>
        <v>0.37077008729315503</v>
      </c>
      <c r="G147" s="1">
        <f>MAX(alpha*G146+(1+alpha)/2*(F147-F146),0)</f>
        <v>0</v>
      </c>
      <c r="H147" s="1">
        <f t="shared" si="10"/>
        <v>0.37077008729315503</v>
      </c>
    </row>
    <row r="148" spans="1:8" x14ac:dyDescent="0.35">
      <c r="A148" s="3">
        <f t="shared" si="7"/>
        <v>43946</v>
      </c>
      <c r="B148" s="1">
        <v>0.37072238691297565</v>
      </c>
      <c r="C148" s="1">
        <f>MAX(alpha*C147+(1+alpha)/2*(B148-B147),0)</f>
        <v>0</v>
      </c>
      <c r="D148" s="1">
        <f t="shared" si="8"/>
        <v>0.37072238691297565</v>
      </c>
      <c r="E148" s="1">
        <f>MAX(alpha*E149+(1+alpha)/2*(D148-D149),0)</f>
        <v>0</v>
      </c>
      <c r="F148" s="1">
        <f t="shared" si="9"/>
        <v>0.37072238691297565</v>
      </c>
      <c r="G148" s="1">
        <f>MAX(alpha*G147+(1+alpha)/2*(F148-F147),0)</f>
        <v>0</v>
      </c>
      <c r="H148" s="1">
        <f t="shared" si="10"/>
        <v>0.37072238691297565</v>
      </c>
    </row>
    <row r="149" spans="1:8" x14ac:dyDescent="0.35">
      <c r="A149" s="3">
        <f t="shared" si="7"/>
        <v>43947</v>
      </c>
      <c r="B149" s="1">
        <v>0.37434070120702428</v>
      </c>
      <c r="C149" s="1">
        <f>MAX(alpha*C148+(1+alpha)/2*(B149-B148),0)</f>
        <v>3.4826275080218068E-3</v>
      </c>
      <c r="D149" s="1">
        <f t="shared" si="8"/>
        <v>0.37085807369900248</v>
      </c>
      <c r="E149" s="1">
        <f>MAX(alpha*E150+(1+alpha)/2*(D149-D150),0)</f>
        <v>0</v>
      </c>
      <c r="F149" s="1">
        <f t="shared" si="9"/>
        <v>0.37085807369900248</v>
      </c>
      <c r="G149" s="1">
        <f>MAX(alpha*G148+(1+alpha)/2*(F149-F148),0)</f>
        <v>1.3059853155081709E-4</v>
      </c>
      <c r="H149" s="1">
        <f t="shared" si="10"/>
        <v>0.37072747516745164</v>
      </c>
    </row>
    <row r="150" spans="1:8" x14ac:dyDescent="0.35">
      <c r="A150" s="3">
        <f t="shared" si="7"/>
        <v>43948</v>
      </c>
      <c r="B150" s="1">
        <v>0.41553177087839105</v>
      </c>
      <c r="C150" s="1">
        <f>MAX(alpha*C149+(1+alpha)/2*(B150-B149),0)</f>
        <v>4.2867835003610688E-2</v>
      </c>
      <c r="D150" s="1">
        <f t="shared" si="8"/>
        <v>0.37266393587478036</v>
      </c>
      <c r="E150" s="1">
        <f>MAX(alpha*E151+(1+alpha)/2*(D150-D151),0)</f>
        <v>0</v>
      </c>
      <c r="F150" s="1">
        <f t="shared" si="9"/>
        <v>0.37266393587478036</v>
      </c>
      <c r="G150" s="1">
        <f>MAX(alpha*G149+(1+alpha)/2*(F150-F149),0)</f>
        <v>1.8589459858707187E-3</v>
      </c>
      <c r="H150" s="1">
        <f t="shared" si="10"/>
        <v>0.37080498988890964</v>
      </c>
    </row>
    <row r="151" spans="1:8" x14ac:dyDescent="0.35">
      <c r="A151" s="3">
        <f t="shared" si="7"/>
        <v>43949</v>
      </c>
      <c r="B151" s="1">
        <v>0.49800931628838835</v>
      </c>
      <c r="C151" s="1">
        <f>MAX(alpha*C150+(1+alpha)/2*(B151-B150),0)</f>
        <v>0.11903738483546229</v>
      </c>
      <c r="D151" s="1">
        <f t="shared" si="8"/>
        <v>0.37897193145292607</v>
      </c>
      <c r="E151" s="1">
        <f>MAX(alpha*E152+(1+alpha)/2*(D151-D152),0)</f>
        <v>0</v>
      </c>
      <c r="F151" s="1">
        <f t="shared" si="9"/>
        <v>0.37897193145292607</v>
      </c>
      <c r="G151" s="1">
        <f>MAX(alpha*G150+(1+alpha)/2*(F151-F150),0)</f>
        <v>7.7909707808956593E-3</v>
      </c>
      <c r="H151" s="1">
        <f t="shared" si="10"/>
        <v>0.37118096067203044</v>
      </c>
    </row>
    <row r="152" spans="1:8" x14ac:dyDescent="0.35">
      <c r="A152" s="3">
        <f t="shared" si="7"/>
        <v>43950</v>
      </c>
      <c r="B152" s="1">
        <v>1.2240471826805173</v>
      </c>
      <c r="C152" s="1">
        <f>MAX(alpha*C151+(1+alpha)/2*(B152-B151),0)</f>
        <v>0.80892102737522675</v>
      </c>
      <c r="D152" s="1">
        <f t="shared" si="8"/>
        <v>0.41512615530529051</v>
      </c>
      <c r="E152" s="1">
        <f>MAX(alpha*E153+(1+alpha)/2*(D152-D153),0)</f>
        <v>0</v>
      </c>
      <c r="F152" s="1">
        <f t="shared" si="9"/>
        <v>0.41512615530529051</v>
      </c>
      <c r="G152" s="1">
        <f>MAX(alpha*G151+(1+alpha)/2*(F152-F151),0)</f>
        <v>4.2005088430229265E-2</v>
      </c>
      <c r="H152" s="1">
        <f t="shared" si="10"/>
        <v>0.37312106687506125</v>
      </c>
    </row>
    <row r="153" spans="1:8" x14ac:dyDescent="0.35">
      <c r="A153" s="3">
        <f t="shared" si="7"/>
        <v>43951</v>
      </c>
      <c r="B153" s="1">
        <v>2.4535543186222699</v>
      </c>
      <c r="C153" s="1">
        <f>MAX(alpha*C152+(1+alpha)/2*(B153-B152),0)</f>
        <v>1.9316525686660218</v>
      </c>
      <c r="D153" s="1">
        <f t="shared" si="8"/>
        <v>0.52190174995624816</v>
      </c>
      <c r="E153" s="1">
        <f>MAX(alpha*E154+(1+alpha)/2*(D153-D154),0)</f>
        <v>0</v>
      </c>
      <c r="F153" s="1">
        <f t="shared" si="9"/>
        <v>0.52190174995624816</v>
      </c>
      <c r="G153" s="1">
        <f>MAX(alpha*G152+(1+alpha)/2*(F153-F152),0)</f>
        <v>0.14162621664950881</v>
      </c>
      <c r="H153" s="1">
        <f t="shared" si="10"/>
        <v>0.38027553330673936</v>
      </c>
    </row>
    <row r="154" spans="1:8" x14ac:dyDescent="0.35">
      <c r="A154" s="3">
        <f t="shared" si="7"/>
        <v>43952</v>
      </c>
      <c r="B154" s="1">
        <v>1.2193217829172076</v>
      </c>
      <c r="C154" s="1">
        <f>MAX(alpha*C153+(1+alpha)/2*(B154-B153),0)</f>
        <v>0.59882981039994787</v>
      </c>
      <c r="D154" s="1">
        <f t="shared" si="8"/>
        <v>0.62049197251725974</v>
      </c>
      <c r="E154" s="1">
        <f>MAX(alpha*E155+(1+alpha)/2*(D154-D155),0)</f>
        <v>4.0131312384905006E-2</v>
      </c>
      <c r="F154" s="1">
        <f t="shared" si="9"/>
        <v>0.58036066013235477</v>
      </c>
      <c r="G154" s="1">
        <f>MAX(alpha*G153+(1+alpha)/2*(F154-F153),0)</f>
        <v>0.18727095144529826</v>
      </c>
      <c r="H154" s="1">
        <f t="shared" si="10"/>
        <v>0.3930897086870565</v>
      </c>
    </row>
    <row r="155" spans="1:8" x14ac:dyDescent="0.35">
      <c r="A155" s="3">
        <f t="shared" si="7"/>
        <v>43953</v>
      </c>
      <c r="B155" s="1">
        <v>0.9449929837560479</v>
      </c>
      <c r="C155" s="1">
        <f>MAX(alpha*C154+(1+alpha)/2*(B155-B154),0)</f>
        <v>0.28987610542733561</v>
      </c>
      <c r="D155" s="1">
        <f t="shared" si="8"/>
        <v>0.65511687832871224</v>
      </c>
      <c r="E155" s="1">
        <f>MAX(alpha*E156+(1+alpha)/2*(D155-D156),0)</f>
        <v>7.9413820787489764E-2</v>
      </c>
      <c r="F155" s="1">
        <f t="shared" si="9"/>
        <v>0.57570305754122253</v>
      </c>
      <c r="G155" s="1">
        <f>MAX(alpha*G154+(1+alpha)/2*(F155-F154),0)</f>
        <v>0.16874268759293612</v>
      </c>
      <c r="H155" s="1">
        <f t="shared" si="10"/>
        <v>0.40696036994828644</v>
      </c>
    </row>
    <row r="156" spans="1:8" x14ac:dyDescent="0.35">
      <c r="A156" s="3">
        <f t="shared" si="7"/>
        <v>43954</v>
      </c>
      <c r="B156" s="1">
        <v>0.80389142363985711</v>
      </c>
      <c r="C156" s="1">
        <f>MAX(alpha*C155+(1+alpha)/2*(B156-B155),0)</f>
        <v>0.13232514590845179</v>
      </c>
      <c r="D156" s="1">
        <f t="shared" si="8"/>
        <v>0.67156627773140531</v>
      </c>
      <c r="E156" s="1">
        <f>MAX(alpha*E157+(1+alpha)/2*(D156-D157),0)</f>
        <v>0.10296904617576416</v>
      </c>
      <c r="F156" s="1">
        <f t="shared" si="9"/>
        <v>0.56859723155564112</v>
      </c>
      <c r="G156" s="1">
        <f>MAX(alpha*G155+(1+alpha)/2*(F156-F155),0)</f>
        <v>0.1492476285123438</v>
      </c>
      <c r="H156" s="1">
        <f t="shared" si="10"/>
        <v>0.41934960304329733</v>
      </c>
    </row>
    <row r="157" spans="1:8" x14ac:dyDescent="0.35">
      <c r="A157" s="3">
        <f t="shared" si="7"/>
        <v>43955</v>
      </c>
      <c r="B157" s="1">
        <v>0.74456649909244199</v>
      </c>
      <c r="C157" s="1">
        <f>MAX(alpha*C156+(1+alpha)/2*(B157-B156),0)</f>
        <v>6.5300520088430861E-2</v>
      </c>
      <c r="D157" s="1">
        <f t="shared" si="8"/>
        <v>0.67926597900401109</v>
      </c>
      <c r="E157" s="1">
        <f>MAX(alpha*E158+(1+alpha)/2*(D157-D158),0)</f>
        <v>0.11932973908178077</v>
      </c>
      <c r="F157" s="1">
        <f t="shared" si="9"/>
        <v>0.55993623992223029</v>
      </c>
      <c r="G157" s="1">
        <f>MAX(alpha*G156+(1+alpha)/2*(F157-F156),0)</f>
        <v>0.12971785192676008</v>
      </c>
      <c r="H157" s="1">
        <f t="shared" si="10"/>
        <v>0.43021838799547019</v>
      </c>
    </row>
    <row r="158" spans="1:8" x14ac:dyDescent="0.35">
      <c r="A158" s="3">
        <f t="shared" si="7"/>
        <v>43956</v>
      </c>
      <c r="B158" s="1">
        <v>0.69318290031068708</v>
      </c>
      <c r="C158" s="1">
        <f>MAX(alpha*C157+(1+alpha)/2*(B158-B157),0)</f>
        <v>1.0946267254359446E-2</v>
      </c>
      <c r="D158" s="1">
        <f t="shared" si="8"/>
        <v>0.68223663305632765</v>
      </c>
      <c r="E158" s="1">
        <f>MAX(alpha*E159+(1+alpha)/2*(D158-D159),0)</f>
        <v>0.13209620930501129</v>
      </c>
      <c r="F158" s="1">
        <f t="shared" si="9"/>
        <v>0.55014042375131633</v>
      </c>
      <c r="G158" s="1">
        <f>MAX(alpha*G157+(1+alpha)/2*(F158-F157),0)</f>
        <v>0.11056053996774839</v>
      </c>
      <c r="H158" s="1">
        <f t="shared" si="10"/>
        <v>0.43957988378356794</v>
      </c>
    </row>
    <row r="159" spans="1:8" x14ac:dyDescent="0.35">
      <c r="A159" s="3">
        <f t="shared" si="7"/>
        <v>43957</v>
      </c>
      <c r="B159" s="1">
        <v>0.65517450331985305</v>
      </c>
      <c r="C159" s="1">
        <f>MAX(alpha*C158+(1+alpha)/2*(B159-B158),0)</f>
        <v>0</v>
      </c>
      <c r="D159" s="1">
        <f t="shared" si="8"/>
        <v>0.65517450331985305</v>
      </c>
      <c r="E159" s="1">
        <f>MAX(alpha*E160+(1+alpha)/2*(D159-D160),0)</f>
        <v>0.11464746965800485</v>
      </c>
      <c r="F159" s="1">
        <f t="shared" si="9"/>
        <v>0.54052703366184818</v>
      </c>
      <c r="G159" s="1">
        <f>MAX(alpha*G158+(1+alpha)/2*(F159-F158),0)</f>
        <v>9.3015611509054172E-2</v>
      </c>
      <c r="H159" s="1">
        <f t="shared" si="10"/>
        <v>0.44751142215279399</v>
      </c>
    </row>
    <row r="160" spans="1:8" x14ac:dyDescent="0.35">
      <c r="A160" s="3">
        <f t="shared" si="7"/>
        <v>43958</v>
      </c>
      <c r="B160" s="1">
        <v>0.61574836233247965</v>
      </c>
      <c r="C160" s="1">
        <f>MAX(alpha*C159+(1+alpha)/2*(B160-B159),0)</f>
        <v>0</v>
      </c>
      <c r="D160" s="1">
        <f t="shared" si="8"/>
        <v>0.61574836233247965</v>
      </c>
      <c r="E160" s="1">
        <f>MAX(alpha*E161+(1+alpha)/2*(D160-D161),0)</f>
        <v>8.291871238665724E-2</v>
      </c>
      <c r="F160" s="1">
        <f t="shared" si="9"/>
        <v>0.53282964994582238</v>
      </c>
      <c r="G160" s="1">
        <f>MAX(alpha*G159+(1+alpha)/2*(F160-F159),0)</f>
        <v>7.8630708819200285E-2</v>
      </c>
      <c r="H160" s="1">
        <f t="shared" si="10"/>
        <v>0.45419894112662207</v>
      </c>
    </row>
    <row r="161" spans="1:8" x14ac:dyDescent="0.35">
      <c r="A161" s="3">
        <f t="shared" si="7"/>
        <v>43959</v>
      </c>
      <c r="B161" s="1">
        <v>0.60709992572109273</v>
      </c>
      <c r="C161" s="1">
        <f>MAX(alpha*C160+(1+alpha)/2*(B161-B160),0)</f>
        <v>0</v>
      </c>
      <c r="D161" s="1">
        <f t="shared" si="8"/>
        <v>0.60709992572109273</v>
      </c>
      <c r="E161" s="1">
        <f>MAX(alpha*E162+(1+alpha)/2*(D161-D162),0)</f>
        <v>8.0642802322375487E-2</v>
      </c>
      <c r="F161" s="1">
        <f t="shared" si="9"/>
        <v>0.5264571233987172</v>
      </c>
      <c r="G161" s="1">
        <f>MAX(alpha*G160+(1+alpha)/2*(F161-F160),0)</f>
        <v>6.6599848856171526E-2</v>
      </c>
      <c r="H161" s="1">
        <f t="shared" si="10"/>
        <v>0.45985727454254566</v>
      </c>
    </row>
    <row r="162" spans="1:8" x14ac:dyDescent="0.35">
      <c r="A162" s="3">
        <f t="shared" si="7"/>
        <v>43960</v>
      </c>
      <c r="B162" s="1">
        <v>0.56519903109054415</v>
      </c>
      <c r="C162" s="1">
        <f>MAX(alpha*C161+(1+alpha)/2*(B162-B161),0)</f>
        <v>0</v>
      </c>
      <c r="D162" s="1">
        <f t="shared" si="8"/>
        <v>0.56519903109054415</v>
      </c>
      <c r="E162" s="1">
        <f>MAX(alpha*E163+(1+alpha)/2*(D162-D163),0)</f>
        <v>4.3581828368078356E-2</v>
      </c>
      <c r="F162" s="1">
        <f t="shared" si="9"/>
        <v>0.52161720272246581</v>
      </c>
      <c r="G162" s="1">
        <f>MAX(alpha*G161+(1+alpha)/2*(F162-F161),0)</f>
        <v>5.6946436541066701E-2</v>
      </c>
      <c r="H162" s="1">
        <f t="shared" si="10"/>
        <v>0.46467076618139913</v>
      </c>
    </row>
    <row r="163" spans="1:8" x14ac:dyDescent="0.35">
      <c r="A163" s="3">
        <f t="shared" ref="A163:A226" si="11">A162+1</f>
        <v>43961</v>
      </c>
      <c r="B163" s="1">
        <v>0.57897278313535527</v>
      </c>
      <c r="C163" s="1">
        <f>MAX(alpha*C162+(1+alpha)/2*(B163-B162),0)</f>
        <v>1.325723634313071E-2</v>
      </c>
      <c r="D163" s="1">
        <f t="shared" si="8"/>
        <v>0.56571554679222458</v>
      </c>
      <c r="E163" s="1">
        <f>MAX(alpha*E164+(1+alpha)/2*(D163-D164),0)</f>
        <v>4.7652945655076502E-2</v>
      </c>
      <c r="F163" s="1">
        <f t="shared" si="9"/>
        <v>0.51806260113714808</v>
      </c>
      <c r="G163" s="1">
        <f>MAX(alpha*G162+(1+alpha)/2*(F163-F162),0)</f>
        <v>4.9254149774618387E-2</v>
      </c>
      <c r="H163" s="1">
        <f t="shared" si="10"/>
        <v>0.46880845136252969</v>
      </c>
    </row>
    <row r="164" spans="1:8" x14ac:dyDescent="0.35">
      <c r="A164" s="3">
        <f t="shared" si="11"/>
        <v>43962</v>
      </c>
      <c r="B164" s="1">
        <v>0.55462997470209585</v>
      </c>
      <c r="C164" s="1">
        <f>MAX(alpha*C163+(1+alpha)/2*(B164-B163),0)</f>
        <v>0</v>
      </c>
      <c r="D164" s="1">
        <f t="shared" si="8"/>
        <v>0.55462997470209585</v>
      </c>
      <c r="E164" s="1">
        <f>MAX(alpha*E165+(1+alpha)/2*(D164-D165),0)</f>
        <v>3.9981710830624434E-2</v>
      </c>
      <c r="F164" s="1">
        <f t="shared" si="9"/>
        <v>0.51464826387147145</v>
      </c>
      <c r="G164" s="1">
        <f>MAX(alpha*G163+(1+alpha)/2*(F164-F163),0)</f>
        <v>4.2273788923308249E-2</v>
      </c>
      <c r="H164" s="1">
        <f t="shared" si="10"/>
        <v>0.4723744749481632</v>
      </c>
    </row>
    <row r="165" spans="1:8" x14ac:dyDescent="0.35">
      <c r="A165" s="3">
        <f t="shared" si="11"/>
        <v>43963</v>
      </c>
      <c r="B165" s="1">
        <v>0.53143521385542503</v>
      </c>
      <c r="C165" s="1">
        <f>MAX(alpha*C164+(1+alpha)/2*(B165-B164),0)</f>
        <v>0</v>
      </c>
      <c r="D165" s="1">
        <f t="shared" si="8"/>
        <v>0.53143521385542503</v>
      </c>
      <c r="E165" s="1">
        <f>MAX(alpha*E166+(1+alpha)/2*(D165-D166),0)</f>
        <v>1.9088382179139204E-2</v>
      </c>
      <c r="F165" s="1">
        <f t="shared" si="9"/>
        <v>0.51234683167628581</v>
      </c>
      <c r="G165" s="1">
        <f>MAX(alpha*G164+(1+alpha)/2*(F165-F164),0)</f>
        <v>3.6888126266193956E-2</v>
      </c>
      <c r="H165" s="1">
        <f t="shared" si="10"/>
        <v>0.47545870541009183</v>
      </c>
    </row>
    <row r="166" spans="1:8" x14ac:dyDescent="0.35">
      <c r="A166" s="3">
        <f t="shared" si="11"/>
        <v>43964</v>
      </c>
      <c r="B166" s="1">
        <v>0.51160312847450118</v>
      </c>
      <c r="C166" s="1">
        <f>MAX(alpha*C165+(1+alpha)/2*(B166-B165),0)</f>
        <v>0</v>
      </c>
      <c r="D166" s="1">
        <f t="shared" si="8"/>
        <v>0.51160312847450118</v>
      </c>
      <c r="E166" s="1">
        <f>MAX(alpha*E167+(1+alpha)/2*(D166-D167),0)</f>
        <v>0</v>
      </c>
      <c r="F166" s="1">
        <f t="shared" si="9"/>
        <v>0.51160312847450118</v>
      </c>
      <c r="G166" s="1">
        <f>MAX(alpha*G165+(1+alpha)/2*(F166-F165),0)</f>
        <v>3.3405702464511709E-2</v>
      </c>
      <c r="H166" s="1">
        <f t="shared" si="10"/>
        <v>0.47819742600998949</v>
      </c>
    </row>
    <row r="167" spans="1:8" x14ac:dyDescent="0.35">
      <c r="A167" s="3">
        <f t="shared" si="11"/>
        <v>43965</v>
      </c>
      <c r="B167" s="1">
        <v>0.66119506026329866</v>
      </c>
      <c r="C167" s="1">
        <f>MAX(alpha*C166+(1+alpha)/2*(B167-B166),0)</f>
        <v>0.14398223434671759</v>
      </c>
      <c r="D167" s="1">
        <f t="shared" si="8"/>
        <v>0.51721282591658113</v>
      </c>
      <c r="E167" s="1">
        <f>MAX(alpha*E168+(1+alpha)/2*(D167-D168),0)</f>
        <v>0</v>
      </c>
      <c r="F167" s="1">
        <f t="shared" si="9"/>
        <v>0.51721282591658113</v>
      </c>
      <c r="G167" s="1">
        <f>MAX(alpha*G166+(1+alpha)/2*(F167-F166),0)</f>
        <v>3.6299608567675286E-2</v>
      </c>
      <c r="H167" s="1">
        <f t="shared" si="10"/>
        <v>0.48091321734890585</v>
      </c>
    </row>
    <row r="168" spans="1:8" x14ac:dyDescent="0.35">
      <c r="A168" s="3">
        <f t="shared" si="11"/>
        <v>43966</v>
      </c>
      <c r="B168" s="1">
        <v>0.76933459922886061</v>
      </c>
      <c r="C168" s="1">
        <f>MAX(alpha*C167+(1+alpha)/2*(B168-B167),0)</f>
        <v>0.23726787302506713</v>
      </c>
      <c r="D168" s="1">
        <f t="shared" si="8"/>
        <v>0.53206672620379347</v>
      </c>
      <c r="E168" s="1">
        <f>MAX(alpha*E169+(1+alpha)/2*(D168-D169),0)</f>
        <v>0</v>
      </c>
      <c r="F168" s="1">
        <f t="shared" si="9"/>
        <v>0.53206672620379347</v>
      </c>
      <c r="G168" s="1">
        <f>MAX(alpha*G167+(1+alpha)/2*(F168-F167),0)</f>
        <v>4.7874016951541518E-2</v>
      </c>
      <c r="H168" s="1">
        <f t="shared" si="10"/>
        <v>0.48419270925225194</v>
      </c>
    </row>
    <row r="169" spans="1:8" x14ac:dyDescent="0.35">
      <c r="A169" s="3">
        <f t="shared" si="11"/>
        <v>43967</v>
      </c>
      <c r="B169" s="1">
        <v>0.60500577498888009</v>
      </c>
      <c r="C169" s="1">
        <f>MAX(alpha*C168+(1+alpha)/2*(B169-B168),0)</f>
        <v>6.130628921720585E-2</v>
      </c>
      <c r="D169" s="1">
        <f t="shared" si="8"/>
        <v>0.54369948577167426</v>
      </c>
      <c r="E169" s="1">
        <f>MAX(alpha*E170+(1+alpha)/2*(D169-D170),0)</f>
        <v>0</v>
      </c>
      <c r="F169" s="1">
        <f t="shared" si="9"/>
        <v>0.54369948577167426</v>
      </c>
      <c r="G169" s="1">
        <f>MAX(alpha*G168+(1+alpha)/2*(F169-F168),0)</f>
        <v>5.5479996764261165E-2</v>
      </c>
      <c r="H169" s="1">
        <f t="shared" si="10"/>
        <v>0.48821948900741308</v>
      </c>
    </row>
    <row r="170" spans="1:8" x14ac:dyDescent="0.35">
      <c r="A170" s="3">
        <f t="shared" si="11"/>
        <v>43968</v>
      </c>
      <c r="B170" s="1">
        <v>3.3599261358698711</v>
      </c>
      <c r="C170" s="1">
        <f>MAX(alpha*C169+(1+alpha)/2*(B170-B169),0)</f>
        <v>2.7083191648738691</v>
      </c>
      <c r="D170" s="1">
        <f t="shared" si="8"/>
        <v>0.65160697099600196</v>
      </c>
      <c r="E170" s="1">
        <f>MAX(alpha*E171+(1+alpha)/2*(D170-D171),0)</f>
        <v>0</v>
      </c>
      <c r="F170" s="1">
        <f t="shared" si="9"/>
        <v>0.65160697099600196</v>
      </c>
      <c r="G170" s="1">
        <f>MAX(alpha*G169+(1+alpha)/2*(F170-F169),0)</f>
        <v>0.15517995153535696</v>
      </c>
      <c r="H170" s="1">
        <f t="shared" si="10"/>
        <v>0.49642701946064499</v>
      </c>
    </row>
    <row r="171" spans="1:8" x14ac:dyDescent="0.35">
      <c r="A171" s="3">
        <f t="shared" si="11"/>
        <v>43969</v>
      </c>
      <c r="B171" s="1">
        <v>3.5797367523728045</v>
      </c>
      <c r="C171" s="1">
        <f>MAX(alpha*C170+(1+alpha)/2*(B171-B170),0)</f>
        <v>2.7167629458924027</v>
      </c>
      <c r="D171" s="1">
        <f t="shared" si="8"/>
        <v>0.86297380648040178</v>
      </c>
      <c r="E171" s="1">
        <f>MAX(alpha*E172+(1+alpha)/2*(D171-D172),0)</f>
        <v>0.20111707123470535</v>
      </c>
      <c r="F171" s="1">
        <f t="shared" si="9"/>
        <v>0.66185673524569644</v>
      </c>
      <c r="G171" s="1">
        <f>MAX(alpha*G170+(1+alpha)/2*(F171-F170),0)</f>
        <v>0.15340685326053613</v>
      </c>
      <c r="H171" s="1">
        <f t="shared" si="10"/>
        <v>0.50844988198516028</v>
      </c>
    </row>
    <row r="172" spans="1:8" x14ac:dyDescent="0.35">
      <c r="A172" s="3">
        <f t="shared" si="11"/>
        <v>43970</v>
      </c>
      <c r="B172" s="1">
        <v>2.5723841438798165</v>
      </c>
      <c r="C172" s="1">
        <f>MAX(alpha*C171+(1+alpha)/2*(B172-B171),0)</f>
        <v>1.5434288392759719</v>
      </c>
      <c r="D172" s="1">
        <f t="shared" si="8"/>
        <v>1.0289553046038447</v>
      </c>
      <c r="E172" s="1">
        <f>MAX(alpha*E173+(1+alpha)/2*(D172-D173),0)</f>
        <v>0.39013433857137197</v>
      </c>
      <c r="F172" s="1">
        <f t="shared" si="9"/>
        <v>0.63882096603247263</v>
      </c>
      <c r="G172" s="1">
        <f>MAX(alpha*G171+(1+alpha)/2*(F172-F171),0)</f>
        <v>0.11972941139826801</v>
      </c>
      <c r="H172" s="1">
        <f t="shared" si="10"/>
        <v>0.51909155463420464</v>
      </c>
    </row>
    <row r="173" spans="1:8" x14ac:dyDescent="0.35">
      <c r="A173" s="3">
        <f t="shared" si="11"/>
        <v>43971</v>
      </c>
      <c r="B173" s="1">
        <v>1.6031583842629324</v>
      </c>
      <c r="C173" s="1">
        <f>MAX(alpha*C172+(1+alpha)/2*(B173-B172),0)</f>
        <v>0.49479188269902319</v>
      </c>
      <c r="D173" s="1">
        <f t="shared" si="8"/>
        <v>1.1083665015639093</v>
      </c>
      <c r="E173" s="1">
        <f>MAX(alpha*E174+(1+alpha)/2*(D173-D174),0)</f>
        <v>0.50439742231938822</v>
      </c>
      <c r="F173" s="1">
        <f t="shared" si="9"/>
        <v>0.60396907924452103</v>
      </c>
      <c r="G173" s="1">
        <f>MAX(alpha*G172+(1+alpha)/2*(F173-F172),0)</f>
        <v>7.72047645099945E-2</v>
      </c>
      <c r="H173" s="1">
        <f t="shared" si="10"/>
        <v>0.52676431473452656</v>
      </c>
    </row>
    <row r="174" spans="1:8" x14ac:dyDescent="0.35">
      <c r="A174" s="3">
        <f t="shared" si="11"/>
        <v>43972</v>
      </c>
      <c r="B174" s="1">
        <v>1.0609780750928222</v>
      </c>
      <c r="C174" s="1">
        <f>MAX(alpha*C173+(1+alpha)/2*(B174-B173),0)</f>
        <v>0</v>
      </c>
      <c r="D174" s="1">
        <f t="shared" si="8"/>
        <v>1.0609780750928222</v>
      </c>
      <c r="E174" s="1">
        <f>MAX(alpha*E175+(1+alpha)/2*(D174-D175),0)</f>
        <v>0.49598493171996416</v>
      </c>
      <c r="F174" s="1">
        <f t="shared" si="9"/>
        <v>0.564993143372858</v>
      </c>
      <c r="G174" s="1">
        <f>MAX(alpha*G173+(1+alpha)/2*(F174-F173),0)</f>
        <v>3.3900068895269232E-2</v>
      </c>
      <c r="H174" s="1">
        <f t="shared" si="10"/>
        <v>0.5310930744775888</v>
      </c>
    </row>
    <row r="175" spans="1:8" x14ac:dyDescent="0.35">
      <c r="A175" s="3">
        <f t="shared" si="11"/>
        <v>43973</v>
      </c>
      <c r="B175" s="1">
        <v>0.86412419867110979</v>
      </c>
      <c r="C175" s="1">
        <f>MAX(alpha*C174+(1+alpha)/2*(B175-B174),0)</f>
        <v>0</v>
      </c>
      <c r="D175" s="1">
        <f t="shared" si="8"/>
        <v>0.86412419867110979</v>
      </c>
      <c r="E175" s="1">
        <f>MAX(alpha*E176+(1+alpha)/2*(D175-D176),0)</f>
        <v>0.33136548720439563</v>
      </c>
      <c r="F175" s="1">
        <f t="shared" si="9"/>
        <v>0.53275871146671416</v>
      </c>
      <c r="G175" s="1">
        <f>MAX(alpha*G174+(1+alpha)/2*(F175-F174),0)</f>
        <v>3.3192301846059549E-4</v>
      </c>
      <c r="H175" s="1">
        <f t="shared" si="10"/>
        <v>0.53242678844825353</v>
      </c>
    </row>
    <row r="176" spans="1:8" x14ac:dyDescent="0.35">
      <c r="A176" s="3">
        <f t="shared" si="11"/>
        <v>43974</v>
      </c>
      <c r="B176" s="1">
        <v>0.73682916642234264</v>
      </c>
      <c r="C176" s="1">
        <f>MAX(alpha*C175+(1+alpha)/2*(B176-B175),0)</f>
        <v>0</v>
      </c>
      <c r="D176" s="1">
        <f t="shared" si="8"/>
        <v>0.73682916642234264</v>
      </c>
      <c r="E176" s="1">
        <f>MAX(alpha*E177+(1+alpha)/2*(D176-D177),0)</f>
        <v>0.2257773174756294</v>
      </c>
      <c r="F176" s="1">
        <f t="shared" si="9"/>
        <v>0.51105184894671329</v>
      </c>
      <c r="G176" s="1">
        <f>MAX(alpha*G175+(1+alpha)/2*(F176-F175),0)</f>
        <v>0</v>
      </c>
      <c r="H176" s="1">
        <f t="shared" si="10"/>
        <v>0.51105184894671329</v>
      </c>
    </row>
    <row r="177" spans="1:8" x14ac:dyDescent="0.35">
      <c r="A177" s="3">
        <f t="shared" si="11"/>
        <v>43975</v>
      </c>
      <c r="B177" s="1">
        <v>0.68211490367855587</v>
      </c>
      <c r="C177" s="1">
        <f>MAX(alpha*C176+(1+alpha)/2*(B177-B176),0)</f>
        <v>0</v>
      </c>
      <c r="D177" s="1">
        <f t="shared" si="8"/>
        <v>0.68211490367855587</v>
      </c>
      <c r="E177" s="1">
        <f>MAX(alpha*E178+(1+alpha)/2*(D177-D178),0)</f>
        <v>0.18715117792944286</v>
      </c>
      <c r="F177" s="1">
        <f t="shared" si="9"/>
        <v>0.49496372574911301</v>
      </c>
      <c r="G177" s="1">
        <f>MAX(alpha*G176+(1+alpha)/2*(F177-F176),0)</f>
        <v>0</v>
      </c>
      <c r="H177" s="1">
        <f t="shared" si="10"/>
        <v>0.49496372574911301</v>
      </c>
    </row>
    <row r="178" spans="1:8" x14ac:dyDescent="0.35">
      <c r="A178" s="3">
        <f t="shared" si="11"/>
        <v>43976</v>
      </c>
      <c r="B178" s="1">
        <v>0.62940948365968474</v>
      </c>
      <c r="C178" s="1">
        <f>MAX(alpha*C177+(1+alpha)/2*(B178-B177),0)</f>
        <v>0</v>
      </c>
      <c r="D178" s="1">
        <f t="shared" si="8"/>
        <v>0.62940948365968474</v>
      </c>
      <c r="E178" s="1">
        <f>MAX(alpha*E179+(1+alpha)/2*(D178-D179),0)</f>
        <v>0.14748347152570745</v>
      </c>
      <c r="F178" s="1">
        <f t="shared" si="9"/>
        <v>0.48192601213397729</v>
      </c>
      <c r="G178" s="1">
        <f>MAX(alpha*G177+(1+alpha)/2*(F178-F177),0)</f>
        <v>0</v>
      </c>
      <c r="H178" s="1">
        <f t="shared" si="10"/>
        <v>0.48192601213397729</v>
      </c>
    </row>
    <row r="179" spans="1:8" x14ac:dyDescent="0.35">
      <c r="A179" s="3">
        <f t="shared" si="11"/>
        <v>43977</v>
      </c>
      <c r="B179" s="1">
        <v>0.61029121048552237</v>
      </c>
      <c r="C179" s="1">
        <f>MAX(alpha*C178+(1+alpha)/2*(B179-B178),0)</f>
        <v>0</v>
      </c>
      <c r="D179" s="1">
        <f t="shared" si="8"/>
        <v>0.61029121048552237</v>
      </c>
      <c r="E179" s="1">
        <f>MAX(alpha*E180+(1+alpha)/2*(D179-D180),0)</f>
        <v>0.13954825253575801</v>
      </c>
      <c r="F179" s="1">
        <f t="shared" si="9"/>
        <v>0.4707429579497644</v>
      </c>
      <c r="G179" s="1">
        <f>MAX(alpha*G178+(1+alpha)/2*(F179-F178),0)</f>
        <v>0</v>
      </c>
      <c r="H179" s="1">
        <f t="shared" si="10"/>
        <v>0.4707429579497644</v>
      </c>
    </row>
    <row r="180" spans="1:8" x14ac:dyDescent="0.35">
      <c r="A180" s="3">
        <f t="shared" si="11"/>
        <v>43978</v>
      </c>
      <c r="B180" s="1">
        <v>0.55201936050507527</v>
      </c>
      <c r="C180" s="1">
        <f>MAX(alpha*C179+(1+alpha)/2*(B180-B179),0)</f>
        <v>0</v>
      </c>
      <c r="D180" s="1">
        <f t="shared" si="8"/>
        <v>0.55201936050507527</v>
      </c>
      <c r="E180" s="1">
        <f>MAX(alpha*E181+(1+alpha)/2*(D180-D181),0)</f>
        <v>9.0228753437381251E-2</v>
      </c>
      <c r="F180" s="1">
        <f t="shared" si="9"/>
        <v>0.46179060706769404</v>
      </c>
      <c r="G180" s="1">
        <f>MAX(alpha*G179+(1+alpha)/2*(F180-F179),0)</f>
        <v>0</v>
      </c>
      <c r="H180" s="1">
        <f t="shared" si="10"/>
        <v>0.46179060706769404</v>
      </c>
    </row>
    <row r="181" spans="1:8" x14ac:dyDescent="0.35">
      <c r="A181" s="3">
        <f t="shared" si="11"/>
        <v>43979</v>
      </c>
      <c r="B181" s="1">
        <v>0.5921584819654252</v>
      </c>
      <c r="C181" s="1">
        <f>MAX(alpha*C180+(1+alpha)/2*(B181-B180),0)</f>
        <v>3.8633904405586804E-2</v>
      </c>
      <c r="D181" s="1">
        <f t="shared" si="8"/>
        <v>0.55352457755983842</v>
      </c>
      <c r="E181" s="1">
        <f>MAX(alpha*E182+(1+alpha)/2*(D181-D182),0)</f>
        <v>9.9110837678476504E-2</v>
      </c>
      <c r="F181" s="1">
        <f t="shared" si="9"/>
        <v>0.45441373988136191</v>
      </c>
      <c r="G181" s="1">
        <f>MAX(alpha*G180+(1+alpha)/2*(F181-F180),0)</f>
        <v>0</v>
      </c>
      <c r="H181" s="1">
        <f t="shared" si="10"/>
        <v>0.45441373988136191</v>
      </c>
    </row>
    <row r="182" spans="1:8" x14ac:dyDescent="0.35">
      <c r="A182" s="3">
        <f t="shared" si="11"/>
        <v>43980</v>
      </c>
      <c r="B182" s="1">
        <v>0.75137739444886398</v>
      </c>
      <c r="C182" s="1">
        <f>MAX(alpha*C181+(1+alpha)/2*(B182-B181),0)</f>
        <v>0.18898456484047763</v>
      </c>
      <c r="D182" s="1">
        <f t="shared" si="8"/>
        <v>0.56239282960838632</v>
      </c>
      <c r="E182" s="1">
        <f>MAX(alpha*E183+(1+alpha)/2*(D182-D183),0)</f>
        <v>0.11637462732454472</v>
      </c>
      <c r="F182" s="1">
        <f t="shared" si="9"/>
        <v>0.44601820228384159</v>
      </c>
      <c r="G182" s="1">
        <f>MAX(alpha*G181+(1+alpha)/2*(F182-F181),0)</f>
        <v>0</v>
      </c>
      <c r="H182" s="1">
        <f t="shared" si="10"/>
        <v>0.44601820228384159</v>
      </c>
    </row>
    <row r="183" spans="1:8" x14ac:dyDescent="0.35">
      <c r="A183" s="3">
        <f t="shared" si="11"/>
        <v>43981</v>
      </c>
      <c r="B183" s="1">
        <v>0.56364326987571156</v>
      </c>
      <c r="C183" s="1">
        <f>MAX(alpha*C182+(1+alpha)/2*(B183-B182),0)</f>
        <v>0</v>
      </c>
      <c r="D183" s="1">
        <f t="shared" si="8"/>
        <v>0.56364326987571156</v>
      </c>
      <c r="E183" s="1">
        <f>MAX(alpha*E184+(1+alpha)/2*(D183-D184),0)</f>
        <v>0.12711154171010297</v>
      </c>
      <c r="F183" s="1">
        <f t="shared" si="9"/>
        <v>0.43653172816560859</v>
      </c>
      <c r="G183" s="1">
        <f>MAX(alpha*G182+(1+alpha)/2*(F183-F182),0)</f>
        <v>0</v>
      </c>
      <c r="H183" s="1">
        <f t="shared" si="10"/>
        <v>0.43653172816560859</v>
      </c>
    </row>
    <row r="184" spans="1:8" x14ac:dyDescent="0.35">
      <c r="A184" s="3">
        <f t="shared" si="11"/>
        <v>43982</v>
      </c>
      <c r="B184" s="1">
        <v>0.51312722932660559</v>
      </c>
      <c r="C184" s="1">
        <f>MAX(alpha*C183+(1+alpha)/2*(B184-B183),0)</f>
        <v>0</v>
      </c>
      <c r="D184" s="1">
        <f t="shared" si="8"/>
        <v>0.51312722932660559</v>
      </c>
      <c r="E184" s="1">
        <f>MAX(alpha*E185+(1+alpha)/2*(D184-D185),0)</f>
        <v>8.4853894790906464E-2</v>
      </c>
      <c r="F184" s="1">
        <f t="shared" si="9"/>
        <v>0.42827333453569916</v>
      </c>
      <c r="G184" s="1">
        <f>MAX(alpha*G183+(1+alpha)/2*(F184-F183),0)</f>
        <v>0</v>
      </c>
      <c r="H184" s="1">
        <f t="shared" si="10"/>
        <v>0.42827333453569916</v>
      </c>
    </row>
    <row r="185" spans="1:8" x14ac:dyDescent="0.35">
      <c r="A185" s="3">
        <f t="shared" si="11"/>
        <v>43983</v>
      </c>
      <c r="B185" s="1">
        <v>0.48719337772765919</v>
      </c>
      <c r="C185" s="1">
        <f>MAX(alpha*C184+(1+alpha)/2*(B185-B184),0)</f>
        <v>0</v>
      </c>
      <c r="D185" s="1">
        <f t="shared" si="8"/>
        <v>0.48719337772765919</v>
      </c>
      <c r="E185" s="1">
        <f>MAX(alpha*E186+(1+alpha)/2*(D185-D186),0)</f>
        <v>6.4748716353427632E-2</v>
      </c>
      <c r="F185" s="1">
        <f t="shared" si="9"/>
        <v>0.42244466137423153</v>
      </c>
      <c r="G185" s="1">
        <f>MAX(alpha*G184+(1+alpha)/2*(F185-F184),0)</f>
        <v>0</v>
      </c>
      <c r="H185" s="1">
        <f t="shared" si="10"/>
        <v>0.42244466137423153</v>
      </c>
    </row>
    <row r="186" spans="1:8" x14ac:dyDescent="0.35">
      <c r="A186" s="3">
        <f t="shared" si="11"/>
        <v>43984</v>
      </c>
      <c r="B186" s="1">
        <v>0.49014373992807481</v>
      </c>
      <c r="C186" s="1">
        <f>MAX(alpha*C185+(1+alpha)/2*(B186-B185),0)</f>
        <v>2.8397236179000273E-3</v>
      </c>
      <c r="D186" s="1">
        <f t="shared" si="8"/>
        <v>0.48730401631017478</v>
      </c>
      <c r="E186" s="1">
        <f>MAX(alpha*E187+(1+alpha)/2*(D186-D187),0)</f>
        <v>7.0113736204431218E-2</v>
      </c>
      <c r="F186" s="1">
        <f t="shared" si="9"/>
        <v>0.41719028010574355</v>
      </c>
      <c r="G186" s="1">
        <f>MAX(alpha*G185+(1+alpha)/2*(F186-F185),0)</f>
        <v>0</v>
      </c>
      <c r="H186" s="1">
        <f t="shared" si="10"/>
        <v>0.41719028010574355</v>
      </c>
    </row>
    <row r="187" spans="1:8" x14ac:dyDescent="0.35">
      <c r="A187" s="3">
        <f t="shared" si="11"/>
        <v>43985</v>
      </c>
      <c r="B187" s="1">
        <v>0.59740995887872772</v>
      </c>
      <c r="C187" s="1">
        <f>MAX(alpha*C186+(1+alpha)/2*(B187-B186),0)</f>
        <v>0.10587048008656096</v>
      </c>
      <c r="D187" s="1">
        <f t="shared" si="8"/>
        <v>0.49153947879216675</v>
      </c>
      <c r="E187" s="1">
        <f>MAX(alpha*E188+(1+alpha)/2*(D187-D188),0)</f>
        <v>8.0205804154971347E-2</v>
      </c>
      <c r="F187" s="1">
        <f t="shared" si="9"/>
        <v>0.41133367463719539</v>
      </c>
      <c r="G187" s="1">
        <f>MAX(alpha*G186+(1+alpha)/2*(F187-F186),0)</f>
        <v>0</v>
      </c>
      <c r="H187" s="1">
        <f t="shared" si="10"/>
        <v>0.41133367463719539</v>
      </c>
    </row>
    <row r="188" spans="1:8" x14ac:dyDescent="0.35">
      <c r="A188" s="3">
        <f t="shared" si="11"/>
        <v>43986</v>
      </c>
      <c r="B188" s="1">
        <v>0.4803562288031995</v>
      </c>
      <c r="C188" s="1">
        <f>MAX(alpha*C187+(1+alpha)/2*(B188-B187),0)</f>
        <v>0</v>
      </c>
      <c r="D188" s="1">
        <f t="shared" si="8"/>
        <v>0.4803562288031995</v>
      </c>
      <c r="E188" s="1">
        <f>MAX(alpha*E189+(1+alpha)/2*(D188-D189),0)</f>
        <v>7.50723524763139E-2</v>
      </c>
      <c r="F188" s="1">
        <f t="shared" si="9"/>
        <v>0.40528387632688562</v>
      </c>
      <c r="G188" s="1">
        <f>MAX(alpha*G187+(1+alpha)/2*(F188-F187),0)</f>
        <v>0</v>
      </c>
      <c r="H188" s="1">
        <f t="shared" si="10"/>
        <v>0.40528387632688562</v>
      </c>
    </row>
    <row r="189" spans="1:8" x14ac:dyDescent="0.35">
      <c r="A189" s="3">
        <f t="shared" si="11"/>
        <v>43987</v>
      </c>
      <c r="B189" s="1">
        <v>0.52471157364395216</v>
      </c>
      <c r="C189" s="1">
        <f>MAX(alpha*C188+(1+alpha)/2*(B189-B188),0)</f>
        <v>4.269201940922443E-2</v>
      </c>
      <c r="D189" s="1">
        <f t="shared" si="8"/>
        <v>0.48201955423472775</v>
      </c>
      <c r="E189" s="1">
        <f>MAX(alpha*E190+(1+alpha)/2*(D189-D190),0)</f>
        <v>8.2890057518010637E-2</v>
      </c>
      <c r="F189" s="1">
        <f t="shared" si="9"/>
        <v>0.3991294967167171</v>
      </c>
      <c r="G189" s="1">
        <f>MAX(alpha*G188+(1+alpha)/2*(F189-F188),0)</f>
        <v>0</v>
      </c>
      <c r="H189" s="1">
        <f t="shared" si="10"/>
        <v>0.3991294967167171</v>
      </c>
    </row>
    <row r="190" spans="1:8" x14ac:dyDescent="0.35">
      <c r="A190" s="3">
        <f t="shared" si="11"/>
        <v>43988</v>
      </c>
      <c r="B190" s="1">
        <v>0.4805355630186427</v>
      </c>
      <c r="C190" s="1">
        <f>MAX(alpha*C189+(1+alpha)/2*(B190-B189),0)</f>
        <v>0</v>
      </c>
      <c r="D190" s="1">
        <f t="shared" si="8"/>
        <v>0.4805355630186427</v>
      </c>
      <c r="E190" s="1">
        <f>MAX(alpha*E191+(1+alpha)/2*(D190-D191),0)</f>
        <v>8.8066719970301369E-2</v>
      </c>
      <c r="F190" s="1">
        <f t="shared" si="9"/>
        <v>0.39246884304834134</v>
      </c>
      <c r="G190" s="1">
        <f>MAX(alpha*G189+(1+alpha)/2*(F190-F189),0)</f>
        <v>0</v>
      </c>
      <c r="H190" s="1">
        <f t="shared" si="10"/>
        <v>0.39246884304834134</v>
      </c>
    </row>
    <row r="191" spans="1:8" x14ac:dyDescent="0.35">
      <c r="A191" s="3">
        <f t="shared" si="11"/>
        <v>43989</v>
      </c>
      <c r="B191" s="1">
        <v>0.44028329731060373</v>
      </c>
      <c r="C191" s="1">
        <f>MAX(alpha*C190+(1+alpha)/2*(B191-B190),0)</f>
        <v>0</v>
      </c>
      <c r="D191" s="1">
        <f t="shared" si="8"/>
        <v>0.44028329731060373</v>
      </c>
      <c r="E191" s="1">
        <f>MAX(alpha*E192+(1+alpha)/2*(D191-D192),0)</f>
        <v>5.3323150514933901E-2</v>
      </c>
      <c r="F191" s="1">
        <f t="shared" si="9"/>
        <v>0.38696014679566981</v>
      </c>
      <c r="G191" s="1">
        <f>MAX(alpha*G190+(1+alpha)/2*(F191-F190),0)</f>
        <v>0</v>
      </c>
      <c r="H191" s="1">
        <f t="shared" si="10"/>
        <v>0.38696014679566981</v>
      </c>
    </row>
    <row r="192" spans="1:8" x14ac:dyDescent="0.35">
      <c r="A192" s="3">
        <f t="shared" si="11"/>
        <v>43990</v>
      </c>
      <c r="B192" s="1">
        <v>0.41989478170499717</v>
      </c>
      <c r="C192" s="1">
        <f>MAX(alpha*C191+(1+alpha)/2*(B192-B191),0)</f>
        <v>0</v>
      </c>
      <c r="D192" s="1">
        <f t="shared" si="8"/>
        <v>0.41989478170499717</v>
      </c>
      <c r="E192" s="1">
        <f>MAX(alpha*E193+(1+alpha)/2*(D192-D193),0)</f>
        <v>3.643157215625685E-2</v>
      </c>
      <c r="F192" s="1">
        <f t="shared" si="9"/>
        <v>0.3834632095487403</v>
      </c>
      <c r="G192" s="1">
        <f>MAX(alpha*G191+(1+alpha)/2*(F192-F191),0)</f>
        <v>0</v>
      </c>
      <c r="H192" s="1">
        <f t="shared" si="10"/>
        <v>0.3834632095487403</v>
      </c>
    </row>
    <row r="193" spans="1:8" x14ac:dyDescent="0.35">
      <c r="A193" s="3">
        <f t="shared" si="11"/>
        <v>43991</v>
      </c>
      <c r="B193" s="1">
        <v>0.46170702684025322</v>
      </c>
      <c r="C193" s="1">
        <f>MAX(alpha*C192+(1+alpha)/2*(B193-B192),0)</f>
        <v>4.0244285942683956E-2</v>
      </c>
      <c r="D193" s="1">
        <f t="shared" si="8"/>
        <v>0.42146274089756924</v>
      </c>
      <c r="E193" s="1">
        <f>MAX(alpha*E194+(1+alpha)/2*(D193-D194),0)</f>
        <v>4.1017008517954021E-2</v>
      </c>
      <c r="F193" s="1">
        <f t="shared" si="9"/>
        <v>0.38044573237961521</v>
      </c>
      <c r="G193" s="1">
        <f>MAX(alpha*G192+(1+alpha)/2*(F193-F192),0)</f>
        <v>0</v>
      </c>
      <c r="H193" s="1">
        <f t="shared" si="10"/>
        <v>0.38044573237961521</v>
      </c>
    </row>
    <row r="194" spans="1:8" x14ac:dyDescent="0.35">
      <c r="A194" s="3">
        <f t="shared" si="11"/>
        <v>43992</v>
      </c>
      <c r="B194" s="1">
        <v>0.66621363919419629</v>
      </c>
      <c r="C194" s="1">
        <f>MAX(alpha*C193+(1+alpha)/2*(B194-B193),0)</f>
        <v>0.23406357888765289</v>
      </c>
      <c r="D194" s="1">
        <f t="shared" si="8"/>
        <v>0.4321500603065434</v>
      </c>
      <c r="E194" s="1">
        <f>MAX(alpha*E195+(1+alpha)/2*(D194-D195),0)</f>
        <v>5.546330102604502E-2</v>
      </c>
      <c r="F194" s="1">
        <f t="shared" si="9"/>
        <v>0.37668675928049838</v>
      </c>
      <c r="G194" s="1">
        <f>MAX(alpha*G193+(1+alpha)/2*(F194-F193),0)</f>
        <v>0</v>
      </c>
      <c r="H194" s="1">
        <f t="shared" si="10"/>
        <v>0.37668675928049838</v>
      </c>
    </row>
    <row r="195" spans="1:8" x14ac:dyDescent="0.35">
      <c r="A195" s="3">
        <f t="shared" si="11"/>
        <v>43993</v>
      </c>
      <c r="B195" s="1">
        <v>0.60882897438192429</v>
      </c>
      <c r="C195" s="1">
        <f>MAX(alpha*C194+(1+alpha)/2*(B195-B194),0)</f>
        <v>0.16127607058926713</v>
      </c>
      <c r="D195" s="1">
        <f t="shared" si="8"/>
        <v>0.44755290379265716</v>
      </c>
      <c r="E195" s="1">
        <f>MAX(alpha*E196+(1+alpha)/2*(D195-D196),0)</f>
        <v>7.5987608520464336E-2</v>
      </c>
      <c r="F195" s="1">
        <f t="shared" si="9"/>
        <v>0.37156529527219284</v>
      </c>
      <c r="G195" s="1">
        <f>MAX(alpha*G194+(1+alpha)/2*(F195-F194),0)</f>
        <v>0</v>
      </c>
      <c r="H195" s="1">
        <f t="shared" si="10"/>
        <v>0.37156529527219284</v>
      </c>
    </row>
    <row r="196" spans="1:8" x14ac:dyDescent="0.35">
      <c r="A196" s="3">
        <f t="shared" si="11"/>
        <v>43994</v>
      </c>
      <c r="B196" s="1">
        <v>0.45807485655158658</v>
      </c>
      <c r="C196" s="1">
        <f>MAX(alpha*C195+(1+alpha)/2*(B196-B195),0)</f>
        <v>4.0795268833720699E-3</v>
      </c>
      <c r="D196" s="1">
        <f t="shared" ref="D196:D259" si="12">B196-C196</f>
        <v>0.45399532966821454</v>
      </c>
      <c r="E196" s="1">
        <f>MAX(alpha*E197+(1+alpha)/2*(D196-D197),0)</f>
        <v>8.8852371271014391E-2</v>
      </c>
      <c r="F196" s="1">
        <f t="shared" ref="F196:F259" si="13">D196-E196</f>
        <v>0.36514295839720012</v>
      </c>
      <c r="G196" s="1">
        <f>MAX(alpha*G195+(1+alpha)/2*(F196-F195),0)</f>
        <v>0</v>
      </c>
      <c r="H196" s="1">
        <f t="shared" ref="H196:H259" si="14">F196-G196</f>
        <v>0.36514295839720012</v>
      </c>
    </row>
    <row r="197" spans="1:8" x14ac:dyDescent="0.35">
      <c r="A197" s="3">
        <f t="shared" si="11"/>
        <v>43995</v>
      </c>
      <c r="B197" s="1">
        <v>0.40669036072192372</v>
      </c>
      <c r="C197" s="1">
        <f>MAX(alpha*C196+(1+alpha)/2*(B197-B196),0)</f>
        <v>0</v>
      </c>
      <c r="D197" s="1">
        <f t="shared" si="12"/>
        <v>0.40669036072192372</v>
      </c>
      <c r="E197" s="1">
        <f>MAX(alpha*E198+(1+alpha)/2*(D197-D198),0)</f>
        <v>4.6833879632658892E-2</v>
      </c>
      <c r="F197" s="1">
        <f t="shared" si="13"/>
        <v>0.35985648108926482</v>
      </c>
      <c r="G197" s="1">
        <f>MAX(alpha*G196+(1+alpha)/2*(F197-F196),0)</f>
        <v>0</v>
      </c>
      <c r="H197" s="1">
        <f t="shared" si="14"/>
        <v>0.35985648108926482</v>
      </c>
    </row>
    <row r="198" spans="1:8" x14ac:dyDescent="0.35">
      <c r="A198" s="3">
        <f t="shared" si="11"/>
        <v>43996</v>
      </c>
      <c r="B198" s="1">
        <v>0.37969634317212614</v>
      </c>
      <c r="C198" s="1">
        <f>MAX(alpha*C197+(1+alpha)/2*(B198-B197),0)</f>
        <v>0</v>
      </c>
      <c r="D198" s="1">
        <f t="shared" si="12"/>
        <v>0.37969634317212614</v>
      </c>
      <c r="E198" s="1">
        <f>MAX(alpha*E199+(1+alpha)/2*(D198-D199),0)</f>
        <v>2.2542851611868885E-2</v>
      </c>
      <c r="F198" s="1">
        <f t="shared" si="13"/>
        <v>0.35715349156025727</v>
      </c>
      <c r="G198" s="1">
        <f>MAX(alpha*G197+(1+alpha)/2*(F198-F197),0)</f>
        <v>0</v>
      </c>
      <c r="H198" s="1">
        <f t="shared" si="14"/>
        <v>0.35715349156025727</v>
      </c>
    </row>
    <row r="199" spans="1:8" x14ac:dyDescent="0.35">
      <c r="A199" s="3">
        <f t="shared" si="11"/>
        <v>43997</v>
      </c>
      <c r="B199" s="1">
        <v>0.37573930770628944</v>
      </c>
      <c r="C199" s="1">
        <f>MAX(alpha*C198+(1+alpha)/2*(B199-B198),0)</f>
        <v>0</v>
      </c>
      <c r="D199" s="1">
        <f t="shared" si="12"/>
        <v>0.37573930770628944</v>
      </c>
      <c r="E199" s="1">
        <f>MAX(alpha*E200+(1+alpha)/2*(D199-D200),0)</f>
        <v>2.0253194568649796E-2</v>
      </c>
      <c r="F199" s="1">
        <f t="shared" si="13"/>
        <v>0.35548611313763967</v>
      </c>
      <c r="G199" s="1">
        <f>MAX(alpha*G198+(1+alpha)/2*(F199-F198),0)</f>
        <v>0</v>
      </c>
      <c r="H199" s="1">
        <f t="shared" si="14"/>
        <v>0.35548611313763967</v>
      </c>
    </row>
    <row r="200" spans="1:8" x14ac:dyDescent="0.35">
      <c r="A200" s="3">
        <f t="shared" si="11"/>
        <v>43998</v>
      </c>
      <c r="B200" s="1">
        <v>0.3664651462138015</v>
      </c>
      <c r="C200" s="1">
        <f>MAX(alpha*C199+(1+alpha)/2*(B200-B199),0)</f>
        <v>0</v>
      </c>
      <c r="D200" s="1">
        <f t="shared" si="12"/>
        <v>0.3664651462138015</v>
      </c>
      <c r="E200" s="1">
        <f>MAX(alpha*E201+(1+alpha)/2*(D200-D201),0)</f>
        <v>1.2245204467167732E-2</v>
      </c>
      <c r="F200" s="1">
        <f t="shared" si="13"/>
        <v>0.35421994174663374</v>
      </c>
      <c r="G200" s="1">
        <f>MAX(alpha*G199+(1+alpha)/2*(F200-F199),0)</f>
        <v>0</v>
      </c>
      <c r="H200" s="1">
        <f t="shared" si="14"/>
        <v>0.35421994174663374</v>
      </c>
    </row>
    <row r="201" spans="1:8" x14ac:dyDescent="0.35">
      <c r="A201" s="3">
        <f t="shared" si="11"/>
        <v>43999</v>
      </c>
      <c r="B201" s="1">
        <v>0.37044326653852228</v>
      </c>
      <c r="C201" s="1">
        <f>MAX(alpha*C200+(1+alpha)/2*(B201-B200),0)</f>
        <v>3.8289408125437505E-3</v>
      </c>
      <c r="D201" s="1">
        <f t="shared" si="12"/>
        <v>0.36661432572597852</v>
      </c>
      <c r="E201" s="1">
        <f>MAX(alpha*E202+(1+alpha)/2*(D201-D202),0)</f>
        <v>1.3393286213662828E-2</v>
      </c>
      <c r="F201" s="1">
        <f t="shared" si="13"/>
        <v>0.3532210395123157</v>
      </c>
      <c r="G201" s="1">
        <f>MAX(alpha*G200+(1+alpha)/2*(F201-F200),0)</f>
        <v>0</v>
      </c>
      <c r="H201" s="1">
        <f t="shared" si="14"/>
        <v>0.3532210395123157</v>
      </c>
    </row>
    <row r="202" spans="1:8" x14ac:dyDescent="0.35">
      <c r="A202" s="3">
        <f t="shared" si="11"/>
        <v>44000</v>
      </c>
      <c r="B202" s="1">
        <v>0.36177540387296198</v>
      </c>
      <c r="C202" s="1">
        <f>MAX(alpha*C201+(1+alpha)/2*(B202-B201),0)</f>
        <v>0</v>
      </c>
      <c r="D202" s="1">
        <f t="shared" si="12"/>
        <v>0.36177540387296198</v>
      </c>
      <c r="E202" s="1">
        <f>MAX(alpha*E203+(1+alpha)/2*(D202-D203),0)</f>
        <v>9.4441339785236809E-3</v>
      </c>
      <c r="F202" s="1">
        <f t="shared" si="13"/>
        <v>0.3523312698944383</v>
      </c>
      <c r="G202" s="1">
        <f>MAX(alpha*G201+(1+alpha)/2*(F202-F201),0)</f>
        <v>0</v>
      </c>
      <c r="H202" s="1">
        <f t="shared" si="14"/>
        <v>0.3523312698944383</v>
      </c>
    </row>
    <row r="203" spans="1:8" x14ac:dyDescent="0.35">
      <c r="A203" s="3">
        <f t="shared" si="11"/>
        <v>44001</v>
      </c>
      <c r="B203" s="1">
        <v>0.35196331662254776</v>
      </c>
      <c r="C203" s="1">
        <f>MAX(alpha*C202+(1+alpha)/2*(B203-B202),0)</f>
        <v>0</v>
      </c>
      <c r="D203" s="1">
        <f t="shared" si="12"/>
        <v>0.35196331662254776</v>
      </c>
      <c r="E203" s="1">
        <f>MAX(alpha*E204+(1+alpha)/2*(D203-D204),0)</f>
        <v>0</v>
      </c>
      <c r="F203" s="1">
        <f t="shared" si="13"/>
        <v>0.35196331662254776</v>
      </c>
      <c r="G203" s="1">
        <f>MAX(alpha*G202+(1+alpha)/2*(F203-F202),0)</f>
        <v>0</v>
      </c>
      <c r="H203" s="1">
        <f t="shared" si="14"/>
        <v>0.35196331662254776</v>
      </c>
    </row>
    <row r="204" spans="1:8" x14ac:dyDescent="0.35">
      <c r="A204" s="3">
        <f t="shared" si="11"/>
        <v>44002</v>
      </c>
      <c r="B204" s="1">
        <v>0.3738675838533867</v>
      </c>
      <c r="C204" s="1">
        <f>MAX(alpha*C203+(1+alpha)/2*(B204-B203),0)</f>
        <v>2.1082857209682476E-2</v>
      </c>
      <c r="D204" s="1">
        <f t="shared" si="12"/>
        <v>0.35278472664370419</v>
      </c>
      <c r="E204" s="1">
        <f>MAX(alpha*E205+(1+alpha)/2*(D204-D205),0)</f>
        <v>0</v>
      </c>
      <c r="F204" s="1">
        <f t="shared" si="13"/>
        <v>0.35278472664370419</v>
      </c>
      <c r="G204" s="1">
        <f>MAX(alpha*G203+(1+alpha)/2*(F204-F203),0)</f>
        <v>7.9060714536306612E-4</v>
      </c>
      <c r="H204" s="1">
        <f t="shared" si="14"/>
        <v>0.35199411949834114</v>
      </c>
    </row>
    <row r="205" spans="1:8" x14ac:dyDescent="0.35">
      <c r="A205" s="3">
        <f t="shared" si="11"/>
        <v>44003</v>
      </c>
      <c r="B205" s="1">
        <v>0.35534969359687524</v>
      </c>
      <c r="C205" s="1">
        <f>MAX(alpha*C204+(1+alpha)/2*(B205-B204),0)</f>
        <v>1.6781735470640102E-3</v>
      </c>
      <c r="D205" s="1">
        <f t="shared" si="12"/>
        <v>0.35367152004981123</v>
      </c>
      <c r="E205" s="1">
        <f>MAX(alpha*E206+(1+alpha)/2*(D205-D206),0)</f>
        <v>0</v>
      </c>
      <c r="F205" s="1">
        <f t="shared" si="13"/>
        <v>0.35367152004981123</v>
      </c>
      <c r="G205" s="1">
        <f>MAX(alpha*G204+(1+alpha)/2*(F205-F204),0)</f>
        <v>1.5848502628388562E-3</v>
      </c>
      <c r="H205" s="1">
        <f t="shared" si="14"/>
        <v>0.35208666978697239</v>
      </c>
    </row>
    <row r="206" spans="1:8" x14ac:dyDescent="0.35">
      <c r="A206" s="3">
        <f t="shared" si="11"/>
        <v>44004</v>
      </c>
      <c r="B206" s="1">
        <v>0.50432156472992207</v>
      </c>
      <c r="C206" s="1">
        <f>MAX(alpha*C205+(1+alpha)/2*(B206-B205),0)</f>
        <v>0.14493773649659181</v>
      </c>
      <c r="D206" s="1">
        <f t="shared" si="12"/>
        <v>0.35938382823333026</v>
      </c>
      <c r="E206" s="1">
        <f>MAX(alpha*E207+(1+alpha)/2*(D206-D207),0)</f>
        <v>0</v>
      </c>
      <c r="F206" s="1">
        <f t="shared" si="13"/>
        <v>0.35938382823333026</v>
      </c>
      <c r="G206" s="1">
        <f>MAX(alpha*G205+(1+alpha)/2*(F206-F205),0)</f>
        <v>6.9640831197630105E-3</v>
      </c>
      <c r="H206" s="1">
        <f t="shared" si="14"/>
        <v>0.35241974511356727</v>
      </c>
    </row>
    <row r="207" spans="1:8" x14ac:dyDescent="0.35">
      <c r="A207" s="3">
        <f t="shared" si="11"/>
        <v>44005</v>
      </c>
      <c r="B207" s="1">
        <v>1.0868513591300217</v>
      </c>
      <c r="C207" s="1">
        <f>MAX(alpha*C206+(1+alpha)/2*(B207-B206),0)</f>
        <v>0.69475233336944342</v>
      </c>
      <c r="D207" s="1">
        <f t="shared" si="12"/>
        <v>0.39209902576057831</v>
      </c>
      <c r="E207" s="1">
        <f>MAX(alpha*E208+(1+alpha)/2*(D207-D208),0)</f>
        <v>0</v>
      </c>
      <c r="F207" s="1">
        <f t="shared" si="13"/>
        <v>0.39209902576057831</v>
      </c>
      <c r="G207" s="1">
        <f>MAX(alpha*G206+(1+alpha)/2*(F207-F206),0)</f>
        <v>3.7930154505757034E-2</v>
      </c>
      <c r="H207" s="1">
        <f t="shared" si="14"/>
        <v>0.35416887125482127</v>
      </c>
    </row>
    <row r="208" spans="1:8" x14ac:dyDescent="0.35">
      <c r="A208" s="3">
        <f t="shared" si="11"/>
        <v>44006</v>
      </c>
      <c r="B208" s="1">
        <v>0.70341507310861662</v>
      </c>
      <c r="C208" s="1">
        <f>MAX(alpha*C207+(1+alpha)/2*(B208-B207),0)</f>
        <v>0.27358848307113276</v>
      </c>
      <c r="D208" s="1">
        <f t="shared" si="12"/>
        <v>0.42982659003748386</v>
      </c>
      <c r="E208" s="1">
        <f>MAX(alpha*E209+(1+alpha)/2*(D208-D209),0)</f>
        <v>0</v>
      </c>
      <c r="F208" s="1">
        <f t="shared" si="13"/>
        <v>0.42982659003748386</v>
      </c>
      <c r="G208" s="1">
        <f>MAX(alpha*G207+(1+alpha)/2*(F208-F207),0)</f>
        <v>7.1398173534346854E-2</v>
      </c>
      <c r="H208" s="1">
        <f t="shared" si="14"/>
        <v>0.358428416503137</v>
      </c>
    </row>
    <row r="209" spans="1:8" x14ac:dyDescent="0.35">
      <c r="A209" s="3">
        <f t="shared" si="11"/>
        <v>44007</v>
      </c>
      <c r="B209" s="1">
        <v>0.48438270633145614</v>
      </c>
      <c r="C209" s="1">
        <f>MAX(alpha*C208+(1+alpha)/2*(B209-B208),0)</f>
        <v>4.2250693817780821E-2</v>
      </c>
      <c r="D209" s="1">
        <f t="shared" si="12"/>
        <v>0.44213201251367529</v>
      </c>
      <c r="E209" s="1">
        <f>MAX(alpha*E210+(1+alpha)/2*(D209-D210),0)</f>
        <v>0</v>
      </c>
      <c r="F209" s="1">
        <f t="shared" si="13"/>
        <v>0.44213201251367529</v>
      </c>
      <c r="G209" s="1">
        <f>MAX(alpha*G208+(1+alpha)/2*(F209-F208),0)</f>
        <v>7.7887279652605099E-2</v>
      </c>
      <c r="H209" s="1">
        <f t="shared" si="14"/>
        <v>0.36424473286107018</v>
      </c>
    </row>
    <row r="210" spans="1:8" x14ac:dyDescent="0.35">
      <c r="A210" s="3">
        <f t="shared" si="11"/>
        <v>44008</v>
      </c>
      <c r="B210" s="1">
        <v>0.58420376134806673</v>
      </c>
      <c r="C210" s="1">
        <f>MAX(alpha*C209+(1+alpha)/2*(B210-B209),0)</f>
        <v>0.13515965723493495</v>
      </c>
      <c r="D210" s="1">
        <f t="shared" si="12"/>
        <v>0.44904410411313178</v>
      </c>
      <c r="E210" s="1">
        <f>MAX(alpha*E211+(1+alpha)/2*(D210-D211),0)</f>
        <v>0</v>
      </c>
      <c r="F210" s="1">
        <f t="shared" si="13"/>
        <v>0.44904410411313178</v>
      </c>
      <c r="G210" s="1">
        <f>MAX(alpha*G209+(1+alpha)/2*(F210-F209),0)</f>
        <v>7.8698621843136599E-2</v>
      </c>
      <c r="H210" s="1">
        <f t="shared" si="14"/>
        <v>0.3703454822699952</v>
      </c>
    </row>
    <row r="211" spans="1:8" x14ac:dyDescent="0.35">
      <c r="A211" s="3">
        <f t="shared" si="11"/>
        <v>44009</v>
      </c>
      <c r="B211" s="1">
        <v>0.64157032000342518</v>
      </c>
      <c r="C211" s="1">
        <f>MAX(alpha*C210+(1+alpha)/2*(B211-B210),0)</f>
        <v>0.18023799564809734</v>
      </c>
      <c r="D211" s="1">
        <f t="shared" si="12"/>
        <v>0.46133232435532784</v>
      </c>
      <c r="E211" s="1">
        <f>MAX(alpha*E212+(1+alpha)/2*(D211-D212),0)</f>
        <v>0</v>
      </c>
      <c r="F211" s="1">
        <f t="shared" si="13"/>
        <v>0.46133232435532784</v>
      </c>
      <c r="G211" s="1">
        <f>MAX(alpha*G210+(1+alpha)/2*(F211-F210),0)</f>
        <v>8.4623637188015063E-2</v>
      </c>
      <c r="H211" s="1">
        <f t="shared" si="14"/>
        <v>0.37670868716731276</v>
      </c>
    </row>
    <row r="212" spans="1:8" x14ac:dyDescent="0.35">
      <c r="A212" s="3">
        <f t="shared" si="11"/>
        <v>44010</v>
      </c>
      <c r="B212" s="1">
        <v>0.46208165397585726</v>
      </c>
      <c r="C212" s="1">
        <f>MAX(alpha*C211+(1+alpha)/2*(B212-B211),0)</f>
        <v>0</v>
      </c>
      <c r="D212" s="1">
        <f t="shared" si="12"/>
        <v>0.46208165397585726</v>
      </c>
      <c r="E212" s="1">
        <f>MAX(alpha*E213+(1+alpha)/2*(D212-D213),0)</f>
        <v>0</v>
      </c>
      <c r="F212" s="1">
        <f t="shared" si="13"/>
        <v>0.46208165397585726</v>
      </c>
      <c r="G212" s="1">
        <f>MAX(alpha*G211+(1+alpha)/2*(F212-F211),0)</f>
        <v>7.899809415867351E-2</v>
      </c>
      <c r="H212" s="1">
        <f t="shared" si="14"/>
        <v>0.38308355981718378</v>
      </c>
    </row>
    <row r="213" spans="1:8" x14ac:dyDescent="0.35">
      <c r="A213" s="3">
        <f t="shared" si="11"/>
        <v>44011</v>
      </c>
      <c r="B213" s="1">
        <v>0.47553987154404748</v>
      </c>
      <c r="C213" s="1">
        <f>MAX(alpha*C212+(1+alpha)/2*(B213-B212),0)</f>
        <v>1.2953534409383079E-2</v>
      </c>
      <c r="D213" s="1">
        <f t="shared" si="12"/>
        <v>0.4625863371346644</v>
      </c>
      <c r="E213" s="1">
        <f>MAX(alpha*E214+(1+alpha)/2*(D213-D214),0)</f>
        <v>0</v>
      </c>
      <c r="F213" s="1">
        <f t="shared" si="13"/>
        <v>0.4625863371346644</v>
      </c>
      <c r="G213" s="1">
        <f>MAX(alpha*G212+(1+alpha)/2*(F213-F212),0)</f>
        <v>7.3558994637124883E-2</v>
      </c>
      <c r="H213" s="1">
        <f t="shared" si="14"/>
        <v>0.38902734249753951</v>
      </c>
    </row>
    <row r="214" spans="1:8" x14ac:dyDescent="0.35">
      <c r="A214" s="3">
        <f t="shared" si="11"/>
        <v>44012</v>
      </c>
      <c r="B214" s="1">
        <v>0.54529270789622308</v>
      </c>
      <c r="C214" s="1">
        <f>MAX(alpha*C213+(1+alpha)/2*(B214-B213),0)</f>
        <v>7.9119124317648365E-2</v>
      </c>
      <c r="D214" s="1">
        <f t="shared" si="12"/>
        <v>0.46617358357857475</v>
      </c>
      <c r="E214" s="1">
        <f>MAX(alpha*E215+(1+alpha)/2*(D214-D215),0)</f>
        <v>0</v>
      </c>
      <c r="F214" s="1">
        <f t="shared" si="13"/>
        <v>0.46617358357857475</v>
      </c>
      <c r="G214" s="1">
        <f>MAX(alpha*G213+(1+alpha)/2*(F214-F213),0)</f>
        <v>7.1494794741604237E-2</v>
      </c>
      <c r="H214" s="1">
        <f t="shared" si="14"/>
        <v>0.3946787888369705</v>
      </c>
    </row>
    <row r="215" spans="1:8" x14ac:dyDescent="0.35">
      <c r="A215" s="3">
        <f t="shared" si="11"/>
        <v>44013</v>
      </c>
      <c r="B215" s="1">
        <v>0.52906422217022109</v>
      </c>
      <c r="C215" s="1">
        <f>MAX(alpha*C214+(1+alpha)/2*(B215-B214),0)</f>
        <v>5.7565272482547822E-2</v>
      </c>
      <c r="D215" s="1">
        <f t="shared" si="12"/>
        <v>0.47149894968767325</v>
      </c>
      <c r="E215" s="1">
        <f>MAX(alpha*E216+(1+alpha)/2*(D215-D216),0)</f>
        <v>2.5458651058491116E-3</v>
      </c>
      <c r="F215" s="1">
        <f t="shared" si="13"/>
        <v>0.46895308458182416</v>
      </c>
      <c r="G215" s="1">
        <f>MAX(alpha*G214+(1+alpha)/2*(F215-F214),0)</f>
        <v>6.8807954851611494E-2</v>
      </c>
      <c r="H215" s="1">
        <f t="shared" si="14"/>
        <v>0.40014512973021266</v>
      </c>
    </row>
    <row r="216" spans="1:8" x14ac:dyDescent="0.35">
      <c r="A216" s="3">
        <f t="shared" si="11"/>
        <v>44014</v>
      </c>
      <c r="B216" s="1">
        <v>0.51093286049700237</v>
      </c>
      <c r="C216" s="1">
        <f>MAX(alpha*C215+(1+alpha)/2*(B216-B215),0)</f>
        <v>3.5796441435883723E-2</v>
      </c>
      <c r="D216" s="1">
        <f t="shared" si="12"/>
        <v>0.47513641906111864</v>
      </c>
      <c r="E216" s="1">
        <f>MAX(alpha*E217+(1+alpha)/2*(D216-D217),0)</f>
        <v>6.5372209489624857E-3</v>
      </c>
      <c r="F216" s="1">
        <f t="shared" si="13"/>
        <v>0.46859919811215617</v>
      </c>
      <c r="G216" s="1">
        <f>MAX(alpha*G215+(1+alpha)/2*(F216-F215),0)</f>
        <v>6.3306742510685188E-2</v>
      </c>
      <c r="H216" s="1">
        <f t="shared" si="14"/>
        <v>0.40529245560147098</v>
      </c>
    </row>
    <row r="217" spans="1:8" x14ac:dyDescent="0.35">
      <c r="A217" s="3">
        <f t="shared" si="11"/>
        <v>44015</v>
      </c>
      <c r="B217" s="1">
        <v>0.50941438255292459</v>
      </c>
      <c r="C217" s="1">
        <f>MAX(alpha*C216+(1+alpha)/2*(B217-B216),0)</f>
        <v>3.1650173307017589E-2</v>
      </c>
      <c r="D217" s="1">
        <f t="shared" si="12"/>
        <v>0.47776420924590701</v>
      </c>
      <c r="E217" s="1">
        <f>MAX(alpha*E218+(1+alpha)/2*(D217-D218),0)</f>
        <v>9.8015881100770724E-3</v>
      </c>
      <c r="F217" s="1">
        <f t="shared" si="13"/>
        <v>0.46796262113582993</v>
      </c>
      <c r="G217" s="1">
        <f>MAX(alpha*G216+(1+alpha)/2*(F217-F216),0)</f>
        <v>5.7946031482669795E-2</v>
      </c>
      <c r="H217" s="1">
        <f t="shared" si="14"/>
        <v>0.41001658965316012</v>
      </c>
    </row>
    <row r="218" spans="1:8" x14ac:dyDescent="0.35">
      <c r="A218" s="3">
        <f t="shared" si="11"/>
        <v>44016</v>
      </c>
      <c r="B218" s="1">
        <v>0.47058411604302103</v>
      </c>
      <c r="C218" s="1">
        <f>MAX(alpha*C217+(1+alpha)/2*(B218-B217),0)</f>
        <v>0</v>
      </c>
      <c r="D218" s="1">
        <f t="shared" si="12"/>
        <v>0.47058411604302103</v>
      </c>
      <c r="E218" s="1">
        <f>MAX(alpha*E219+(1+alpha)/2*(D218-D219),0)</f>
        <v>3.1251334078911475E-3</v>
      </c>
      <c r="F218" s="1">
        <f t="shared" si="13"/>
        <v>0.46745898263512986</v>
      </c>
      <c r="G218" s="1">
        <f>MAX(alpha*G217+(1+alpha)/2*(F218-F217),0)</f>
        <v>5.3115327064545755E-2</v>
      </c>
      <c r="H218" s="1">
        <f t="shared" si="14"/>
        <v>0.41434365557058411</v>
      </c>
    </row>
    <row r="219" spans="1:8" x14ac:dyDescent="0.35">
      <c r="A219" s="3">
        <f t="shared" si="11"/>
        <v>44017</v>
      </c>
      <c r="B219" s="1">
        <v>0.46733722419066659</v>
      </c>
      <c r="C219" s="1">
        <f>MAX(alpha*C218+(1+alpha)/2*(B219-B218),0)</f>
        <v>0</v>
      </c>
      <c r="D219" s="1">
        <f t="shared" si="12"/>
        <v>0.46733722419066659</v>
      </c>
      <c r="E219" s="1">
        <f>MAX(alpha*E220+(1+alpha)/2*(D219-D220),0)</f>
        <v>0</v>
      </c>
      <c r="F219" s="1">
        <f t="shared" si="13"/>
        <v>0.46733722419066659</v>
      </c>
      <c r="G219" s="1">
        <f>MAX(alpha*G218+(1+alpha)/2*(F219-F218),0)</f>
        <v>4.901448503190893E-2</v>
      </c>
      <c r="H219" s="1">
        <f t="shared" si="14"/>
        <v>0.41832273915875767</v>
      </c>
    </row>
    <row r="220" spans="1:8" x14ac:dyDescent="0.35">
      <c r="A220" s="3">
        <f t="shared" si="11"/>
        <v>44018</v>
      </c>
      <c r="B220" s="1">
        <v>0.48774175974956813</v>
      </c>
      <c r="C220" s="1">
        <f>MAX(alpha*C219+(1+alpha)/2*(B220-B219),0)</f>
        <v>1.9639365475442729E-2</v>
      </c>
      <c r="D220" s="1">
        <f t="shared" si="12"/>
        <v>0.46810239427412542</v>
      </c>
      <c r="E220" s="1">
        <f>MAX(alpha*E221+(1+alpha)/2*(D220-D221),0)</f>
        <v>0</v>
      </c>
      <c r="F220" s="1">
        <f t="shared" si="13"/>
        <v>0.46810239427412542</v>
      </c>
      <c r="G220" s="1">
        <f>MAX(alpha*G219+(1+alpha)/2*(F220-F219),0)</f>
        <v>4.6074874859844892E-2</v>
      </c>
      <c r="H220" s="1">
        <f t="shared" si="14"/>
        <v>0.42202751941428052</v>
      </c>
    </row>
    <row r="221" spans="1:8" x14ac:dyDescent="0.35">
      <c r="A221" s="3">
        <f t="shared" si="11"/>
        <v>44019</v>
      </c>
      <c r="B221" s="1">
        <v>0.57408733492450292</v>
      </c>
      <c r="C221" s="1">
        <f>MAX(alpha*C220+(1+alpha)/2*(B221-B220),0)</f>
        <v>0.10127402917065928</v>
      </c>
      <c r="D221" s="1">
        <f t="shared" si="12"/>
        <v>0.47281330575384362</v>
      </c>
      <c r="E221" s="1">
        <f>MAX(alpha*E222+(1+alpha)/2*(D221-D222),0)</f>
        <v>0</v>
      </c>
      <c r="F221" s="1">
        <f t="shared" si="13"/>
        <v>0.47281330575384362</v>
      </c>
      <c r="G221" s="1">
        <f>MAX(alpha*G220+(1+alpha)/2*(F221-F220),0)</f>
        <v>4.7153511544585289E-2</v>
      </c>
      <c r="H221" s="1">
        <f t="shared" si="14"/>
        <v>0.42565979420925831</v>
      </c>
    </row>
    <row r="222" spans="1:8" x14ac:dyDescent="0.35">
      <c r="A222" s="3">
        <f t="shared" si="11"/>
        <v>44020</v>
      </c>
      <c r="B222" s="1">
        <v>0.61010114000629001</v>
      </c>
      <c r="C222" s="1">
        <f>MAX(alpha*C221+(1+alpha)/2*(B222-B221),0)</f>
        <v>0.1283417643740799</v>
      </c>
      <c r="D222" s="1">
        <f t="shared" si="12"/>
        <v>0.48175937563221011</v>
      </c>
      <c r="E222" s="1">
        <f>MAX(alpha*E223+(1+alpha)/2*(D222-D223),0)</f>
        <v>0</v>
      </c>
      <c r="F222" s="1">
        <f t="shared" si="13"/>
        <v>0.48175937563221011</v>
      </c>
      <c r="G222" s="1">
        <f>MAX(alpha*G221+(1+alpha)/2*(F222-F221),0)</f>
        <v>5.2227590436669143E-2</v>
      </c>
      <c r="H222" s="1">
        <f t="shared" si="14"/>
        <v>0.42953178519554097</v>
      </c>
    </row>
    <row r="223" spans="1:8" x14ac:dyDescent="0.35">
      <c r="A223" s="3">
        <f t="shared" si="11"/>
        <v>44021</v>
      </c>
      <c r="B223" s="1">
        <v>0.86852241162162569</v>
      </c>
      <c r="C223" s="1">
        <f>MAX(alpha*C222+(1+alpha)/2*(B223-B222),0)</f>
        <v>0.36744660597578455</v>
      </c>
      <c r="D223" s="1">
        <f t="shared" si="12"/>
        <v>0.50107580564584109</v>
      </c>
      <c r="E223" s="1">
        <f>MAX(alpha*E224+(1+alpha)/2*(D223-D224),0)</f>
        <v>0</v>
      </c>
      <c r="F223" s="1">
        <f t="shared" si="13"/>
        <v>0.50107580564584109</v>
      </c>
      <c r="G223" s="1">
        <f>MAX(alpha*G222+(1+alpha)/2*(F223-F222),0)</f>
        <v>6.6902585042038776E-2</v>
      </c>
      <c r="H223" s="1">
        <f t="shared" si="14"/>
        <v>0.43417322060380231</v>
      </c>
    </row>
    <row r="224" spans="1:8" x14ac:dyDescent="0.35">
      <c r="A224" s="3">
        <f t="shared" si="11"/>
        <v>44022</v>
      </c>
      <c r="B224" s="1">
        <v>2.0097938767658596</v>
      </c>
      <c r="C224" s="1">
        <f>MAX(alpha*C223+(1+alpha)/2*(B224-B223),0)</f>
        <v>1.4383618957289257</v>
      </c>
      <c r="D224" s="1">
        <f t="shared" si="12"/>
        <v>0.57143198103693393</v>
      </c>
      <c r="E224" s="1">
        <f>MAX(alpha*E225+(1+alpha)/2*(D224-D225),0)</f>
        <v>2.9971466116714474E-2</v>
      </c>
      <c r="F224" s="1">
        <f t="shared" si="13"/>
        <v>0.5414605149202194</v>
      </c>
      <c r="G224" s="1">
        <f>MAX(alpha*G223+(1+alpha)/2*(F224-F223),0)</f>
        <v>0.100755173840475</v>
      </c>
      <c r="H224" s="1">
        <f t="shared" si="14"/>
        <v>0.44070534107974441</v>
      </c>
    </row>
    <row r="225" spans="1:8" x14ac:dyDescent="0.35">
      <c r="A225" s="3">
        <f t="shared" si="11"/>
        <v>44023</v>
      </c>
      <c r="B225" s="1">
        <v>0.93174270761285183</v>
      </c>
      <c r="C225" s="1">
        <f>MAX(alpha*C224+(1+alpha)/2*(B225-B224),0)</f>
        <v>0.2928605032394862</v>
      </c>
      <c r="D225" s="1">
        <f t="shared" si="12"/>
        <v>0.63888220437336563</v>
      </c>
      <c r="E225" s="1">
        <f>MAX(alpha*E226+(1+alpha)/2*(D225-D226),0)</f>
        <v>0.10258627684111349</v>
      </c>
      <c r="F225" s="1">
        <f t="shared" si="13"/>
        <v>0.53629592753225208</v>
      </c>
      <c r="G225" s="1">
        <f>MAX(alpha*G224+(1+alpha)/2*(F225-F224),0)</f>
        <v>8.8227620441520826E-2</v>
      </c>
      <c r="H225" s="1">
        <f t="shared" si="14"/>
        <v>0.44806830709073125</v>
      </c>
    </row>
    <row r="226" spans="1:8" x14ac:dyDescent="0.35">
      <c r="A226" s="3">
        <f t="shared" si="11"/>
        <v>44024</v>
      </c>
      <c r="B226" s="1">
        <v>0.66526323037684587</v>
      </c>
      <c r="C226" s="1">
        <f>MAX(alpha*C225+(1+alpha)/2*(B226-B225),0)</f>
        <v>1.4409468656868984E-2</v>
      </c>
      <c r="D226" s="1">
        <f t="shared" si="12"/>
        <v>0.65085376171997689</v>
      </c>
      <c r="E226" s="1">
        <f>MAX(alpha*E227+(1+alpha)/2*(D226-D227),0)</f>
        <v>0.123360973824029</v>
      </c>
      <c r="F226" s="1">
        <f t="shared" si="13"/>
        <v>0.52749278789594789</v>
      </c>
      <c r="G226" s="1">
        <f>MAX(alpha*G225+(1+alpha)/2*(F226-F225),0)</f>
        <v>7.3137527008463987E-2</v>
      </c>
      <c r="H226" s="1">
        <f t="shared" si="14"/>
        <v>0.4543552608874839</v>
      </c>
    </row>
    <row r="227" spans="1:8" x14ac:dyDescent="0.35">
      <c r="A227" s="3">
        <f t="shared" ref="A227:A290" si="15">A226+1</f>
        <v>44025</v>
      </c>
      <c r="B227" s="1">
        <v>0.56945466170315118</v>
      </c>
      <c r="C227" s="1">
        <f>MAX(alpha*C226+(1+alpha)/2*(B227-B226),0)</f>
        <v>0</v>
      </c>
      <c r="D227" s="1">
        <f t="shared" si="12"/>
        <v>0.56945466170315118</v>
      </c>
      <c r="E227" s="1">
        <f>MAX(alpha*E228+(1+alpha)/2*(D227-D228),0)</f>
        <v>4.8664151413874868E-2</v>
      </c>
      <c r="F227" s="1">
        <f t="shared" si="13"/>
        <v>0.52079051028927625</v>
      </c>
      <c r="G227" s="1">
        <f>MAX(alpha*G226+(1+alpha)/2*(F227-F226),0)</f>
        <v>6.1201270286407747E-2</v>
      </c>
      <c r="H227" s="1">
        <f t="shared" si="14"/>
        <v>0.45958924000286849</v>
      </c>
    </row>
    <row r="228" spans="1:8" x14ac:dyDescent="0.35">
      <c r="A228" s="3">
        <f t="shared" si="15"/>
        <v>44026</v>
      </c>
      <c r="B228" s="1">
        <v>0.54264755313976887</v>
      </c>
      <c r="C228" s="1">
        <f>MAX(alpha*C227+(1+alpha)/2*(B228-B227),0)</f>
        <v>0</v>
      </c>
      <c r="D228" s="1">
        <f t="shared" si="12"/>
        <v>0.54264755313976887</v>
      </c>
      <c r="E228" s="1">
        <f>MAX(alpha*E229+(1+alpha)/2*(D228-D229),0)</f>
        <v>2.4716010185534477E-2</v>
      </c>
      <c r="F228" s="1">
        <f t="shared" si="13"/>
        <v>0.51793154295423438</v>
      </c>
      <c r="G228" s="1">
        <f>MAX(alpha*G227+(1+alpha)/2*(F228-F227),0)</f>
        <v>5.3859418954949369E-2</v>
      </c>
      <c r="H228" s="1">
        <f t="shared" si="14"/>
        <v>0.46407212399928499</v>
      </c>
    </row>
    <row r="229" spans="1:8" x14ac:dyDescent="0.35">
      <c r="A229" s="3">
        <f t="shared" si="15"/>
        <v>44027</v>
      </c>
      <c r="B229" s="1">
        <v>1.1672449577906416</v>
      </c>
      <c r="C229" s="1">
        <f>MAX(alpha*C228+(1+alpha)/2*(B229-B228),0)</f>
        <v>0.60117500197646501</v>
      </c>
      <c r="D229" s="1">
        <f t="shared" si="12"/>
        <v>0.56606995581417663</v>
      </c>
      <c r="E229" s="1">
        <f>MAX(alpha*E230+(1+alpha)/2*(D229-D230),0)</f>
        <v>5.1091970550975072E-2</v>
      </c>
      <c r="F229" s="1">
        <f t="shared" si="13"/>
        <v>0.5149779852632016</v>
      </c>
      <c r="G229" s="1">
        <f>MAX(alpha*G228+(1+alpha)/2*(F229-F228),0)</f>
        <v>4.6977163255709116E-2</v>
      </c>
      <c r="H229" s="1">
        <f t="shared" si="14"/>
        <v>0.46800082200749249</v>
      </c>
    </row>
    <row r="230" spans="1:8" x14ac:dyDescent="0.35">
      <c r="A230" s="3">
        <f t="shared" si="15"/>
        <v>44028</v>
      </c>
      <c r="B230" s="1">
        <v>1.7799801917795388</v>
      </c>
      <c r="C230" s="1">
        <f>MAX(alpha*C229+(1+alpha)/2*(B230-B229),0)</f>
        <v>1.1458445395425436</v>
      </c>
      <c r="D230" s="1">
        <f t="shared" si="12"/>
        <v>0.6341356522369952</v>
      </c>
      <c r="E230" s="1">
        <f>MAX(alpha*E231+(1+alpha)/2*(D230-D231),0)</f>
        <v>0.12605967930587886</v>
      </c>
      <c r="F230" s="1">
        <f t="shared" si="13"/>
        <v>0.50807597293111639</v>
      </c>
      <c r="G230" s="1">
        <f>MAX(alpha*G229+(1+alpha)/2*(F230-F229),0)</f>
        <v>3.6810689141898924E-2</v>
      </c>
      <c r="H230" s="1">
        <f t="shared" si="14"/>
        <v>0.47126528378921745</v>
      </c>
    </row>
    <row r="231" spans="1:8" x14ac:dyDescent="0.35">
      <c r="A231" s="3">
        <f t="shared" si="15"/>
        <v>44029</v>
      </c>
      <c r="B231" s="1">
        <v>0.9902393008591831</v>
      </c>
      <c r="C231" s="1">
        <f>MAX(alpha*C230+(1+alpha)/2*(B231-B230),0)</f>
        <v>0.29978059156601045</v>
      </c>
      <c r="D231" s="1">
        <f t="shared" si="12"/>
        <v>0.69045870929317266</v>
      </c>
      <c r="E231" s="1">
        <f>MAX(alpha*E232+(1+alpha)/2*(D231-D232),0)</f>
        <v>0.19488715861886449</v>
      </c>
      <c r="F231" s="1">
        <f t="shared" si="13"/>
        <v>0.49557155067430814</v>
      </c>
      <c r="G231" s="1">
        <f>MAX(alpha*G230+(1+alpha)/2*(F231-F230),0)</f>
        <v>2.2014381034078559E-2</v>
      </c>
      <c r="H231" s="1">
        <f t="shared" si="14"/>
        <v>0.47355716964022959</v>
      </c>
    </row>
    <row r="232" spans="1:8" x14ac:dyDescent="0.35">
      <c r="A232" s="3">
        <f t="shared" si="15"/>
        <v>44030</v>
      </c>
      <c r="B232" s="1">
        <v>0.78705037153942736</v>
      </c>
      <c r="C232" s="1">
        <f>MAX(alpha*C231+(1+alpha)/2*(B232-B231),0)</f>
        <v>8.1727702728294771E-2</v>
      </c>
      <c r="D232" s="1">
        <f t="shared" si="12"/>
        <v>0.70532266881113259</v>
      </c>
      <c r="E232" s="1">
        <f>MAX(alpha*E233+(1+alpha)/2*(D232-D233),0)</f>
        <v>0.22615537259989291</v>
      </c>
      <c r="F232" s="1">
        <f t="shared" si="13"/>
        <v>0.47916729621123966</v>
      </c>
      <c r="G232" s="1">
        <f>MAX(alpha*G231+(1+alpha)/2*(F232-F231),0)</f>
        <v>4.5742075358192538E-3</v>
      </c>
      <c r="H232" s="1">
        <f t="shared" si="14"/>
        <v>0.47459308867542038</v>
      </c>
    </row>
    <row r="233" spans="1:8" x14ac:dyDescent="0.35">
      <c r="A233" s="3">
        <f t="shared" si="15"/>
        <v>44031</v>
      </c>
      <c r="B233" s="1">
        <v>0.69521549566259822</v>
      </c>
      <c r="C233" s="1">
        <f>MAX(alpha*C232+(1+alpha)/2*(B233-B232),0)</f>
        <v>0</v>
      </c>
      <c r="D233" s="1">
        <f t="shared" si="12"/>
        <v>0.69521549566259822</v>
      </c>
      <c r="E233" s="1">
        <f>MAX(alpha*E234+(1+alpha)/2*(D233-D234),0)</f>
        <v>0.23397537129127413</v>
      </c>
      <c r="F233" s="1">
        <f t="shared" si="13"/>
        <v>0.46124012437132411</v>
      </c>
      <c r="G233" s="1">
        <f>MAX(alpha*G232+(1+alpha)/2*(F233-F232),0)</f>
        <v>0</v>
      </c>
      <c r="H233" s="1">
        <f t="shared" si="14"/>
        <v>0.46124012437132411</v>
      </c>
    </row>
    <row r="234" spans="1:8" x14ac:dyDescent="0.35">
      <c r="A234" s="3">
        <f t="shared" si="15"/>
        <v>44032</v>
      </c>
      <c r="B234" s="1">
        <v>0.60852282114502876</v>
      </c>
      <c r="C234" s="1">
        <f>MAX(alpha*C233+(1+alpha)/2*(B234-B233),0)</f>
        <v>0</v>
      </c>
      <c r="D234" s="1">
        <f t="shared" si="12"/>
        <v>0.60852282114502876</v>
      </c>
      <c r="E234" s="1">
        <f>MAX(alpha*E235+(1+alpha)/2*(D234-D235),0)</f>
        <v>0.16273910493850111</v>
      </c>
      <c r="F234" s="1">
        <f t="shared" si="13"/>
        <v>0.44578371620652768</v>
      </c>
      <c r="G234" s="1">
        <f>MAX(alpha*G233+(1+alpha)/2*(F234-F233),0)</f>
        <v>0</v>
      </c>
      <c r="H234" s="1">
        <f t="shared" si="14"/>
        <v>0.44578371620652768</v>
      </c>
    </row>
    <row r="235" spans="1:8" x14ac:dyDescent="0.35">
      <c r="A235" s="3">
        <f t="shared" si="15"/>
        <v>44033</v>
      </c>
      <c r="B235" s="1">
        <v>0.55196291657028629</v>
      </c>
      <c r="C235" s="1">
        <f>MAX(alpha*C234+(1+alpha)/2*(B235-B234),0)</f>
        <v>0</v>
      </c>
      <c r="D235" s="1">
        <f t="shared" si="12"/>
        <v>0.55196291657028629</v>
      </c>
      <c r="E235" s="1">
        <f>MAX(alpha*E236+(1+alpha)/2*(D235-D236),0)</f>
        <v>0.11708129382195835</v>
      </c>
      <c r="F235" s="1">
        <f t="shared" si="13"/>
        <v>0.43488162274832792</v>
      </c>
      <c r="G235" s="1">
        <f>MAX(alpha*G234+(1+alpha)/2*(F235-F234),0)</f>
        <v>0</v>
      </c>
      <c r="H235" s="1">
        <f t="shared" si="14"/>
        <v>0.43488162274832792</v>
      </c>
    </row>
    <row r="236" spans="1:8" x14ac:dyDescent="0.35">
      <c r="A236" s="3">
        <f t="shared" si="15"/>
        <v>44034</v>
      </c>
      <c r="B236" s="1">
        <v>0.53574072076010826</v>
      </c>
      <c r="C236" s="1">
        <f>MAX(alpha*C235+(1+alpha)/2*(B236-B235),0)</f>
        <v>0</v>
      </c>
      <c r="D236" s="1">
        <f t="shared" si="12"/>
        <v>0.53574072076010826</v>
      </c>
      <c r="E236" s="1">
        <f>MAX(alpha*E237+(1+alpha)/2*(D236-D237),0)</f>
        <v>0.10969451930233728</v>
      </c>
      <c r="F236" s="1">
        <f t="shared" si="13"/>
        <v>0.42604620145777095</v>
      </c>
      <c r="G236" s="1">
        <f>MAX(alpha*G235+(1+alpha)/2*(F236-F235),0)</f>
        <v>0</v>
      </c>
      <c r="H236" s="1">
        <f t="shared" si="14"/>
        <v>0.42604620145777095</v>
      </c>
    </row>
    <row r="237" spans="1:8" x14ac:dyDescent="0.35">
      <c r="A237" s="3">
        <f t="shared" si="15"/>
        <v>44035</v>
      </c>
      <c r="B237" s="1">
        <v>0.49023961319616643</v>
      </c>
      <c r="C237" s="1">
        <f>MAX(alpha*C236+(1+alpha)/2*(B237-B236),0)</f>
        <v>0</v>
      </c>
      <c r="D237" s="1">
        <f t="shared" si="12"/>
        <v>0.49023961319616643</v>
      </c>
      <c r="E237" s="1">
        <f>MAX(alpha*E238+(1+alpha)/2*(D237-D238),0)</f>
        <v>7.1242922456263E-2</v>
      </c>
      <c r="F237" s="1">
        <f t="shared" si="13"/>
        <v>0.41899669073990342</v>
      </c>
      <c r="G237" s="1">
        <f>MAX(alpha*G236+(1+alpha)/2*(F237-F236),0)</f>
        <v>0</v>
      </c>
      <c r="H237" s="1">
        <f t="shared" si="14"/>
        <v>0.41899669073990342</v>
      </c>
    </row>
    <row r="238" spans="1:8" x14ac:dyDescent="0.35">
      <c r="A238" s="3">
        <f t="shared" si="15"/>
        <v>44036</v>
      </c>
      <c r="B238" s="1">
        <v>0.46105264120186251</v>
      </c>
      <c r="C238" s="1">
        <f>MAX(alpha*C237+(1+alpha)/2*(B238-B237),0)</f>
        <v>0</v>
      </c>
      <c r="D238" s="1">
        <f t="shared" si="12"/>
        <v>0.46105264120186251</v>
      </c>
      <c r="E238" s="1">
        <f>MAX(alpha*E239+(1+alpha)/2*(D238-D239),0)</f>
        <v>4.6649148012697803E-2</v>
      </c>
      <c r="F238" s="1">
        <f t="shared" si="13"/>
        <v>0.4144034931891647</v>
      </c>
      <c r="G238" s="1">
        <f>MAX(alpha*G237+(1+alpha)/2*(F238-F237),0)</f>
        <v>0</v>
      </c>
      <c r="H238" s="1">
        <f t="shared" si="14"/>
        <v>0.4144034931891647</v>
      </c>
    </row>
    <row r="239" spans="1:8" x14ac:dyDescent="0.35">
      <c r="A239" s="3">
        <f t="shared" si="15"/>
        <v>44037</v>
      </c>
      <c r="B239" s="1">
        <v>0.4451062300734574</v>
      </c>
      <c r="C239" s="1">
        <f>MAX(alpha*C238+(1+alpha)/2*(B239-B238),0)</f>
        <v>0</v>
      </c>
      <c r="D239" s="1">
        <f t="shared" si="12"/>
        <v>0.4451062300734574</v>
      </c>
      <c r="E239" s="1">
        <f>MAX(alpha*E240+(1+alpha)/2*(D239-D240),0)</f>
        <v>3.3838624109846352E-2</v>
      </c>
      <c r="F239" s="1">
        <f t="shared" si="13"/>
        <v>0.41126760596361106</v>
      </c>
      <c r="G239" s="1">
        <f>MAX(alpha*G238+(1+alpha)/2*(F239-F238),0)</f>
        <v>0</v>
      </c>
      <c r="H239" s="1">
        <f t="shared" si="14"/>
        <v>0.41126760596361106</v>
      </c>
    </row>
    <row r="240" spans="1:8" x14ac:dyDescent="0.35">
      <c r="A240" s="3">
        <f t="shared" si="15"/>
        <v>44038</v>
      </c>
      <c r="B240" s="1">
        <v>0.48876563239361981</v>
      </c>
      <c r="C240" s="1">
        <f>MAX(alpha*C239+(1+alpha)/2*(B240-B239),0)</f>
        <v>4.2022174733156323E-2</v>
      </c>
      <c r="D240" s="1">
        <f t="shared" si="12"/>
        <v>0.44674345766046347</v>
      </c>
      <c r="E240" s="1">
        <f>MAX(alpha*E241+(1+alpha)/2*(D240-D241),0)</f>
        <v>3.8285898013340217E-2</v>
      </c>
      <c r="F240" s="1">
        <f t="shared" si="13"/>
        <v>0.40845755964712327</v>
      </c>
      <c r="G240" s="1">
        <f>MAX(alpha*G239+(1+alpha)/2*(F240-F239),0)</f>
        <v>0</v>
      </c>
      <c r="H240" s="1">
        <f t="shared" si="14"/>
        <v>0.40845755964712327</v>
      </c>
    </row>
    <row r="241" spans="1:8" x14ac:dyDescent="0.35">
      <c r="A241" s="3">
        <f t="shared" si="15"/>
        <v>44039</v>
      </c>
      <c r="B241" s="1">
        <v>0.47330776337120262</v>
      </c>
      <c r="C241" s="1">
        <f>MAX(alpha*C240+(1+alpha)/2*(B241-B240),0)</f>
        <v>2.3992312694093056E-2</v>
      </c>
      <c r="D241" s="1">
        <f t="shared" si="12"/>
        <v>0.44931545067710954</v>
      </c>
      <c r="E241" s="1">
        <f>MAX(alpha*E242+(1+alpha)/2*(D241-D242),0)</f>
        <v>4.4066423018229252E-2</v>
      </c>
      <c r="F241" s="1">
        <f t="shared" si="13"/>
        <v>0.40524902765888027</v>
      </c>
      <c r="G241" s="1">
        <f>MAX(alpha*G240+(1+alpha)/2*(F241-F240),0)</f>
        <v>0</v>
      </c>
      <c r="H241" s="1">
        <f t="shared" si="14"/>
        <v>0.40524902765888027</v>
      </c>
    </row>
    <row r="242" spans="1:8" x14ac:dyDescent="0.35">
      <c r="A242" s="3">
        <f t="shared" si="15"/>
        <v>44040</v>
      </c>
      <c r="B242" s="1">
        <v>0.4469664676166501</v>
      </c>
      <c r="C242" s="1">
        <f>MAX(alpha*C241+(1+alpha)/2*(B242-B241),0)</f>
        <v>0</v>
      </c>
      <c r="D242" s="1">
        <f t="shared" si="12"/>
        <v>0.4469664676166501</v>
      </c>
      <c r="E242" s="1">
        <f>MAX(alpha*E243+(1+alpha)/2*(D242-D243),0)</f>
        <v>4.5195164132472473E-2</v>
      </c>
      <c r="F242" s="1">
        <f t="shared" si="13"/>
        <v>0.40177130348417761</v>
      </c>
      <c r="G242" s="1">
        <f>MAX(alpha*G241+(1+alpha)/2*(F242-F241),0)</f>
        <v>0</v>
      </c>
      <c r="H242" s="1">
        <f t="shared" si="14"/>
        <v>0.40177130348417761</v>
      </c>
    </row>
    <row r="243" spans="1:8" x14ac:dyDescent="0.35">
      <c r="A243" s="3">
        <f t="shared" si="15"/>
        <v>44041</v>
      </c>
      <c r="B243" s="1">
        <v>0.44293574880517822</v>
      </c>
      <c r="C243" s="1">
        <f>MAX(alpha*C242+(1+alpha)/2*(B243-B242),0)</f>
        <v>0</v>
      </c>
      <c r="D243" s="1">
        <f t="shared" si="12"/>
        <v>0.44293574880517822</v>
      </c>
      <c r="E243" s="1">
        <f>MAX(alpha*E244+(1+alpha)/2*(D243-D244),0)</f>
        <v>4.4665510569114365E-2</v>
      </c>
      <c r="F243" s="1">
        <f t="shared" si="13"/>
        <v>0.39827023823606383</v>
      </c>
      <c r="G243" s="1">
        <f>MAX(alpha*G242+(1+alpha)/2*(F243-F242),0)</f>
        <v>0</v>
      </c>
      <c r="H243" s="1">
        <f t="shared" si="14"/>
        <v>0.39827023823606383</v>
      </c>
    </row>
    <row r="244" spans="1:8" x14ac:dyDescent="0.35">
      <c r="A244" s="3">
        <f t="shared" si="15"/>
        <v>44042</v>
      </c>
      <c r="B244" s="1">
        <v>0.42146945009695663</v>
      </c>
      <c r="C244" s="1">
        <f>MAX(alpha*C243+(1+alpha)/2*(B244-B243),0)</f>
        <v>0</v>
      </c>
      <c r="D244" s="1">
        <f t="shared" si="12"/>
        <v>0.42146945009695663</v>
      </c>
      <c r="E244" s="1">
        <f>MAX(alpha*E245+(1+alpha)/2*(D244-D245),0)</f>
        <v>2.5950484391839012E-2</v>
      </c>
      <c r="F244" s="1">
        <f t="shared" si="13"/>
        <v>0.39551896570511763</v>
      </c>
      <c r="G244" s="1">
        <f>MAX(alpha*G243+(1+alpha)/2*(F244-F243),0)</f>
        <v>0</v>
      </c>
      <c r="H244" s="1">
        <f t="shared" si="14"/>
        <v>0.39551896570511763</v>
      </c>
    </row>
    <row r="245" spans="1:8" x14ac:dyDescent="0.35">
      <c r="A245" s="3">
        <f t="shared" si="15"/>
        <v>44043</v>
      </c>
      <c r="B245" s="1">
        <v>0.42500181539521864</v>
      </c>
      <c r="C245" s="1">
        <f>MAX(alpha*C244+(1+alpha)/2*(B245-B244),0)</f>
        <v>3.3999015995771829E-3</v>
      </c>
      <c r="D245" s="1">
        <f t="shared" si="12"/>
        <v>0.42160191379564144</v>
      </c>
      <c r="E245" s="1">
        <f>MAX(alpha*E246+(1+alpha)/2*(D245-D246),0)</f>
        <v>2.8192411569538525E-2</v>
      </c>
      <c r="F245" s="1">
        <f t="shared" si="13"/>
        <v>0.39340950222610294</v>
      </c>
      <c r="G245" s="1">
        <f>MAX(alpha*G244+(1+alpha)/2*(F245-F244),0)</f>
        <v>0</v>
      </c>
      <c r="H245" s="1">
        <f t="shared" si="14"/>
        <v>0.39340950222610294</v>
      </c>
    </row>
    <row r="246" spans="1:8" x14ac:dyDescent="0.35">
      <c r="A246" s="3">
        <f t="shared" si="15"/>
        <v>44044</v>
      </c>
      <c r="B246" s="1">
        <v>0.40892750687957752</v>
      </c>
      <c r="C246" s="1">
        <f>MAX(alpha*C245+(1+alpha)/2*(B246-B245),0)</f>
        <v>0</v>
      </c>
      <c r="D246" s="1">
        <f t="shared" si="12"/>
        <v>0.40892750687957752</v>
      </c>
      <c r="E246" s="1">
        <f>MAX(alpha*E247+(1+alpha)/2*(D246-D247),0)</f>
        <v>1.7290048554407571E-2</v>
      </c>
      <c r="F246" s="1">
        <f t="shared" si="13"/>
        <v>0.39163745832516994</v>
      </c>
      <c r="G246" s="1">
        <f>MAX(alpha*G245+(1+alpha)/2*(F246-F245),0)</f>
        <v>0</v>
      </c>
      <c r="H246" s="1">
        <f t="shared" si="14"/>
        <v>0.39163745832516994</v>
      </c>
    </row>
    <row r="247" spans="1:8" x14ac:dyDescent="0.35">
      <c r="A247" s="3">
        <f t="shared" si="15"/>
        <v>44045</v>
      </c>
      <c r="B247" s="1">
        <v>0.53237811187128314</v>
      </c>
      <c r="C247" s="1">
        <f>MAX(alpha*C246+(1+alpha)/2*(B247-B246),0)</f>
        <v>0.11882120730451667</v>
      </c>
      <c r="D247" s="1">
        <f t="shared" si="12"/>
        <v>0.41355690456676647</v>
      </c>
      <c r="E247" s="1">
        <f>MAX(alpha*E248+(1+alpha)/2*(D247-D248),0)</f>
        <v>2.3509020354948042E-2</v>
      </c>
      <c r="F247" s="1">
        <f t="shared" si="13"/>
        <v>0.39004788421181841</v>
      </c>
      <c r="G247" s="1">
        <f>MAX(alpha*G246+(1+alpha)/2*(F247-F246),0)</f>
        <v>0</v>
      </c>
      <c r="H247" s="1">
        <f t="shared" si="14"/>
        <v>0.39004788421181841</v>
      </c>
    </row>
    <row r="248" spans="1:8" x14ac:dyDescent="0.35">
      <c r="A248" s="3">
        <f t="shared" si="15"/>
        <v>44046</v>
      </c>
      <c r="B248" s="1">
        <v>0.55549209301112124</v>
      </c>
      <c r="C248" s="1">
        <f>MAX(alpha*C247+(1+alpha)/2*(B248-B247),0)</f>
        <v>0.13215682360377209</v>
      </c>
      <c r="D248" s="1">
        <f t="shared" si="12"/>
        <v>0.42333526940734911</v>
      </c>
      <c r="E248" s="1">
        <f>MAX(alpha*E249+(1+alpha)/2*(D248-D249),0)</f>
        <v>3.5589942177306849E-2</v>
      </c>
      <c r="F248" s="1">
        <f t="shared" si="13"/>
        <v>0.38774532723004229</v>
      </c>
      <c r="G248" s="1">
        <f>MAX(alpha*G247+(1+alpha)/2*(F248-F247),0)</f>
        <v>0</v>
      </c>
      <c r="H248" s="1">
        <f t="shared" si="14"/>
        <v>0.38774532723004229</v>
      </c>
    </row>
    <row r="249" spans="1:8" x14ac:dyDescent="0.35">
      <c r="A249" s="3">
        <f t="shared" si="15"/>
        <v>44047</v>
      </c>
      <c r="B249" s="1">
        <v>0.45632565226302901</v>
      </c>
      <c r="C249" s="1">
        <f>MAX(alpha*C248+(1+alpha)/2*(B249-B248),0)</f>
        <v>2.6797362613450434E-2</v>
      </c>
      <c r="D249" s="1">
        <f t="shared" si="12"/>
        <v>0.42952828964957857</v>
      </c>
      <c r="E249" s="1">
        <f>MAX(alpha*E250+(1+alpha)/2*(D249-D250),0)</f>
        <v>4.4919701795083998E-2</v>
      </c>
      <c r="F249" s="1">
        <f t="shared" si="13"/>
        <v>0.38460858785449459</v>
      </c>
      <c r="G249" s="1">
        <f>MAX(alpha*G248+(1+alpha)/2*(F249-F248),0)</f>
        <v>0</v>
      </c>
      <c r="H249" s="1">
        <f t="shared" si="14"/>
        <v>0.38460858785449459</v>
      </c>
    </row>
    <row r="250" spans="1:8" x14ac:dyDescent="0.35">
      <c r="A250" s="3">
        <f t="shared" si="15"/>
        <v>44048</v>
      </c>
      <c r="B250" s="1">
        <v>0.44277731496653416</v>
      </c>
      <c r="C250" s="1">
        <f>MAX(alpha*C249+(1+alpha)/2*(B250-B249),0)</f>
        <v>1.1747285769565361E-2</v>
      </c>
      <c r="D250" s="1">
        <f t="shared" si="12"/>
        <v>0.43103002919696881</v>
      </c>
      <c r="E250" s="1">
        <f>MAX(alpha*E251+(1+alpha)/2*(D250-D251),0)</f>
        <v>5.0124460658861739E-2</v>
      </c>
      <c r="F250" s="1">
        <f t="shared" si="13"/>
        <v>0.38090556853810709</v>
      </c>
      <c r="G250" s="1">
        <f>MAX(alpha*G249+(1+alpha)/2*(F250-F249),0)</f>
        <v>0</v>
      </c>
      <c r="H250" s="1">
        <f t="shared" si="14"/>
        <v>0.38090556853810709</v>
      </c>
    </row>
    <row r="251" spans="1:8" x14ac:dyDescent="0.35">
      <c r="A251" s="3">
        <f t="shared" si="15"/>
        <v>44049</v>
      </c>
      <c r="B251" s="1">
        <v>0.41366319943217356</v>
      </c>
      <c r="C251" s="1">
        <f>MAX(alpha*C250+(1+alpha)/2*(B251-B250),0)</f>
        <v>0</v>
      </c>
      <c r="D251" s="1">
        <f t="shared" si="12"/>
        <v>0.41366319943217356</v>
      </c>
      <c r="E251" s="1">
        <f>MAX(alpha*E252+(1+alpha)/2*(D251-D252),0)</f>
        <v>3.6117715686752767E-2</v>
      </c>
      <c r="F251" s="1">
        <f t="shared" si="13"/>
        <v>0.3775454837454208</v>
      </c>
      <c r="G251" s="1">
        <f>MAX(alpha*G250+(1+alpha)/2*(F251-F250),0)</f>
        <v>0</v>
      </c>
      <c r="H251" s="1">
        <f t="shared" si="14"/>
        <v>0.3775454837454208</v>
      </c>
    </row>
    <row r="252" spans="1:8" x14ac:dyDescent="0.35">
      <c r="A252" s="3">
        <f t="shared" si="15"/>
        <v>44050</v>
      </c>
      <c r="B252" s="1">
        <v>0.41553458307866326</v>
      </c>
      <c r="C252" s="1">
        <f>MAX(alpha*C251+(1+alpha)/2*(B252-B251),0)</f>
        <v>1.8012067597463356E-3</v>
      </c>
      <c r="D252" s="1">
        <f t="shared" si="12"/>
        <v>0.41373337631891693</v>
      </c>
      <c r="E252" s="1">
        <f>MAX(alpha*E253+(1+alpha)/2*(D252-D253),0)</f>
        <v>3.9119201016479206E-2</v>
      </c>
      <c r="F252" s="1">
        <f t="shared" si="13"/>
        <v>0.37461417530243774</v>
      </c>
      <c r="G252" s="1">
        <f>MAX(alpha*G251+(1+alpha)/2*(F252-F251),0)</f>
        <v>0</v>
      </c>
      <c r="H252" s="1">
        <f t="shared" si="14"/>
        <v>0.37461417530243774</v>
      </c>
    </row>
    <row r="253" spans="1:8" x14ac:dyDescent="0.35">
      <c r="A253" s="3">
        <f t="shared" si="15"/>
        <v>44051</v>
      </c>
      <c r="B253" s="1">
        <v>0.41168757125431044</v>
      </c>
      <c r="C253" s="1">
        <f>MAX(alpha*C252+(1+alpha)/2*(B253-B252),0)</f>
        <v>0</v>
      </c>
      <c r="D253" s="1">
        <f t="shared" si="12"/>
        <v>0.41168757125431044</v>
      </c>
      <c r="E253" s="1">
        <f>MAX(alpha*E254+(1+alpha)/2*(D253-D254),0)</f>
        <v>4.0162285018157239E-2</v>
      </c>
      <c r="F253" s="1">
        <f t="shared" si="13"/>
        <v>0.37152528623615322</v>
      </c>
      <c r="G253" s="1">
        <f>MAX(alpha*G252+(1+alpha)/2*(F253-F252),0)</f>
        <v>0</v>
      </c>
      <c r="H253" s="1">
        <f t="shared" si="14"/>
        <v>0.37152528623615322</v>
      </c>
    </row>
    <row r="254" spans="1:8" x14ac:dyDescent="0.35">
      <c r="A254" s="3">
        <f t="shared" si="15"/>
        <v>44052</v>
      </c>
      <c r="B254" s="1">
        <v>0.53197825430486612</v>
      </c>
      <c r="C254" s="1">
        <f>MAX(alpha*C253+(1+alpha)/2*(B254-B253),0)</f>
        <v>0.11577978243615984</v>
      </c>
      <c r="D254" s="1">
        <f t="shared" si="12"/>
        <v>0.41619847186870629</v>
      </c>
      <c r="E254" s="1">
        <f>MAX(alpha*E255+(1+alpha)/2*(D254-D255),0)</f>
        <v>4.8112461469744051E-2</v>
      </c>
      <c r="F254" s="1">
        <f t="shared" si="13"/>
        <v>0.36808601039896222</v>
      </c>
      <c r="G254" s="1">
        <f>MAX(alpha*G253+(1+alpha)/2*(F254-F253),0)</f>
        <v>0</v>
      </c>
      <c r="H254" s="1">
        <f t="shared" si="14"/>
        <v>0.36808601039896222</v>
      </c>
    </row>
    <row r="255" spans="1:8" x14ac:dyDescent="0.35">
      <c r="A255" s="3">
        <f t="shared" si="15"/>
        <v>44053</v>
      </c>
      <c r="B255" s="1">
        <v>0.58341106444479263</v>
      </c>
      <c r="C255" s="1">
        <f>MAX(alpha*C254+(1+alpha)/2*(B255-B254),0)</f>
        <v>0.15660037851312714</v>
      </c>
      <c r="D255" s="1">
        <f t="shared" si="12"/>
        <v>0.42681068593166549</v>
      </c>
      <c r="E255" s="1">
        <f>MAX(alpha*E256+(1+alpha)/2*(D255-D256),0)</f>
        <v>6.305591081658625E-2</v>
      </c>
      <c r="F255" s="1">
        <f t="shared" si="13"/>
        <v>0.36375477511507925</v>
      </c>
      <c r="G255" s="1">
        <f>MAX(alpha*G254+(1+alpha)/2*(F255-F254),0)</f>
        <v>0</v>
      </c>
      <c r="H255" s="1">
        <f t="shared" si="14"/>
        <v>0.36375477511507925</v>
      </c>
    </row>
    <row r="256" spans="1:8" x14ac:dyDescent="0.35">
      <c r="A256" s="3">
        <f t="shared" si="15"/>
        <v>44054</v>
      </c>
      <c r="B256" s="1">
        <v>0.48937802849541301</v>
      </c>
      <c r="C256" s="1">
        <f>MAX(alpha*C255+(1+alpha)/2*(B256-B255),0)</f>
        <v>5.4348553023364707E-2</v>
      </c>
      <c r="D256" s="1">
        <f t="shared" si="12"/>
        <v>0.43502947547204829</v>
      </c>
      <c r="E256" s="1">
        <f>MAX(alpha*E257+(1+alpha)/2*(D256-D257),0)</f>
        <v>7.6720535945086141E-2</v>
      </c>
      <c r="F256" s="1">
        <f t="shared" si="13"/>
        <v>0.35830893952696213</v>
      </c>
      <c r="G256" s="1">
        <f>MAX(alpha*G255+(1+alpha)/2*(F256-F255),0)</f>
        <v>0</v>
      </c>
      <c r="H256" s="1">
        <f t="shared" si="14"/>
        <v>0.35830893952696213</v>
      </c>
    </row>
    <row r="257" spans="1:8" x14ac:dyDescent="0.35">
      <c r="A257" s="3">
        <f t="shared" si="15"/>
        <v>44055</v>
      </c>
      <c r="B257" s="1">
        <v>0.42269178797705104</v>
      </c>
      <c r="C257" s="1">
        <f>MAX(alpha*C256+(1+alpha)/2*(B257-B256),0)</f>
        <v>0</v>
      </c>
      <c r="D257" s="1">
        <f t="shared" si="12"/>
        <v>0.42269178797705104</v>
      </c>
      <c r="E257" s="1">
        <f>MAX(alpha*E258+(1+alpha)/2*(D257-D258),0)</f>
        <v>7.0103255925568958E-2</v>
      </c>
      <c r="F257" s="1">
        <f t="shared" si="13"/>
        <v>0.35258853205148211</v>
      </c>
      <c r="G257" s="1">
        <f>MAX(alpha*G256+(1+alpha)/2*(F257-F256),0)</f>
        <v>0</v>
      </c>
      <c r="H257" s="1">
        <f t="shared" si="14"/>
        <v>0.35258853205148211</v>
      </c>
    </row>
    <row r="258" spans="1:8" x14ac:dyDescent="0.35">
      <c r="A258" s="3">
        <f t="shared" si="15"/>
        <v>44056</v>
      </c>
      <c r="B258" s="1">
        <v>0.40376875274673923</v>
      </c>
      <c r="C258" s="1">
        <f>MAX(alpha*C257+(1+alpha)/2*(B258-B257),0)</f>
        <v>0</v>
      </c>
      <c r="D258" s="1">
        <f t="shared" si="12"/>
        <v>0.40376875274673923</v>
      </c>
      <c r="E258" s="1">
        <f>MAX(alpha*E259+(1+alpha)/2*(D258-D259),0)</f>
        <v>5.6097118396101445E-2</v>
      </c>
      <c r="F258" s="1">
        <f t="shared" si="13"/>
        <v>0.3476716343506378</v>
      </c>
      <c r="G258" s="1">
        <f>MAX(alpha*G257+(1+alpha)/2*(F258-F257),0)</f>
        <v>0</v>
      </c>
      <c r="H258" s="1">
        <f t="shared" si="14"/>
        <v>0.3476716343506378</v>
      </c>
    </row>
    <row r="259" spans="1:8" x14ac:dyDescent="0.35">
      <c r="A259" s="3">
        <f t="shared" si="15"/>
        <v>44057</v>
      </c>
      <c r="B259" s="1">
        <v>0.38473682255269442</v>
      </c>
      <c r="C259" s="1">
        <f>MAX(alpha*C258+(1+alpha)/2*(B259-B258),0)</f>
        <v>0</v>
      </c>
      <c r="D259" s="1">
        <f t="shared" si="12"/>
        <v>0.38473682255269442</v>
      </c>
      <c r="E259" s="1">
        <f>MAX(alpha*E260+(1+alpha)/2*(D259-D260),0)</f>
        <v>4.0842038469549521E-2</v>
      </c>
      <c r="F259" s="1">
        <f t="shared" si="13"/>
        <v>0.34389478408314489</v>
      </c>
      <c r="G259" s="1">
        <f>MAX(alpha*G258+(1+alpha)/2*(F259-F258),0)</f>
        <v>0</v>
      </c>
      <c r="H259" s="1">
        <f t="shared" si="14"/>
        <v>0.34389478408314489</v>
      </c>
    </row>
    <row r="260" spans="1:8" x14ac:dyDescent="0.35">
      <c r="A260" s="3">
        <f t="shared" si="15"/>
        <v>44058</v>
      </c>
      <c r="B260" s="1">
        <v>0.36535579252539424</v>
      </c>
      <c r="C260" s="1">
        <f>MAX(alpha*C259+(1+alpha)/2*(B260-B259),0)</f>
        <v>0</v>
      </c>
      <c r="D260" s="1">
        <f t="shared" ref="D260:D323" si="16">B260-C260</f>
        <v>0.36535579252539424</v>
      </c>
      <c r="E260" s="1">
        <f>MAX(alpha*E261+(1+alpha)/2*(D260-D261),0)</f>
        <v>2.3986807641376316E-2</v>
      </c>
      <c r="F260" s="1">
        <f t="shared" ref="F260:F323" si="17">D260-E260</f>
        <v>0.3413689848840179</v>
      </c>
      <c r="G260" s="1">
        <f>MAX(alpha*G259+(1+alpha)/2*(F260-F259),0)</f>
        <v>0</v>
      </c>
      <c r="H260" s="1">
        <f t="shared" ref="H260:H323" si="18">F260-G260</f>
        <v>0.3413689848840179</v>
      </c>
    </row>
    <row r="261" spans="1:8" x14ac:dyDescent="0.35">
      <c r="A261" s="3">
        <f t="shared" si="15"/>
        <v>44059</v>
      </c>
      <c r="B261" s="1">
        <v>0.3627248396768597</v>
      </c>
      <c r="C261" s="1">
        <f>MAX(alpha*C260+(1+alpha)/2*(B261-B260),0)</f>
        <v>0</v>
      </c>
      <c r="D261" s="1">
        <f t="shared" si="16"/>
        <v>0.3627248396768597</v>
      </c>
      <c r="E261" s="1">
        <f>MAX(alpha*E262+(1+alpha)/2*(D261-D262),0)</f>
        <v>2.3194070837472238E-2</v>
      </c>
      <c r="F261" s="1">
        <f t="shared" si="17"/>
        <v>0.33953076883938749</v>
      </c>
      <c r="G261" s="1">
        <f>MAX(alpha*G260+(1+alpha)/2*(F261-F260),0)</f>
        <v>0</v>
      </c>
      <c r="H261" s="1">
        <f t="shared" si="18"/>
        <v>0.33953076883938749</v>
      </c>
    </row>
    <row r="262" spans="1:8" x14ac:dyDescent="0.35">
      <c r="A262" s="3">
        <f t="shared" si="15"/>
        <v>44060</v>
      </c>
      <c r="B262" s="1">
        <v>0.35233910336050323</v>
      </c>
      <c r="C262" s="1">
        <f>MAX(alpha*C261+(1+alpha)/2*(B262-B261),0)</f>
        <v>0</v>
      </c>
      <c r="D262" s="1">
        <f t="shared" si="16"/>
        <v>0.35233910336050323</v>
      </c>
      <c r="E262" s="1">
        <f>MAX(alpha*E263+(1+alpha)/2*(D262-D263),0)</f>
        <v>1.4267891495112572E-2</v>
      </c>
      <c r="F262" s="1">
        <f t="shared" si="17"/>
        <v>0.33807121186539063</v>
      </c>
      <c r="G262" s="1">
        <f>MAX(alpha*G261+(1+alpha)/2*(F262-F261),0)</f>
        <v>0</v>
      </c>
      <c r="H262" s="1">
        <f t="shared" si="18"/>
        <v>0.33807121186539063</v>
      </c>
    </row>
    <row r="263" spans="1:8" x14ac:dyDescent="0.35">
      <c r="A263" s="3">
        <f t="shared" si="15"/>
        <v>44061</v>
      </c>
      <c r="B263" s="1">
        <v>0.35355720613379216</v>
      </c>
      <c r="C263" s="1">
        <f>MAX(alpha*C262+(1+alpha)/2*(B263-B262),0)</f>
        <v>1.1724239192905967E-3</v>
      </c>
      <c r="D263" s="1">
        <f t="shared" si="16"/>
        <v>0.35238478221450154</v>
      </c>
      <c r="E263" s="1">
        <f>MAX(alpha*E264+(1+alpha)/2*(D263-D264),0)</f>
        <v>1.5472278261714536E-2</v>
      </c>
      <c r="F263" s="1">
        <f t="shared" si="17"/>
        <v>0.33691250395278699</v>
      </c>
      <c r="G263" s="1">
        <f>MAX(alpha*G262+(1+alpha)/2*(F263-F262),0)</f>
        <v>0</v>
      </c>
      <c r="H263" s="1">
        <f t="shared" si="18"/>
        <v>0.33691250395278699</v>
      </c>
    </row>
    <row r="264" spans="1:8" x14ac:dyDescent="0.35">
      <c r="A264" s="3">
        <f t="shared" si="15"/>
        <v>44062</v>
      </c>
      <c r="B264" s="1">
        <v>0.36311540374683421</v>
      </c>
      <c r="C264" s="1">
        <f>MAX(alpha*C263+(1+alpha)/2*(B264-B263),0)</f>
        <v>1.0284257327896777E-2</v>
      </c>
      <c r="D264" s="1">
        <f t="shared" si="16"/>
        <v>0.35283114641893742</v>
      </c>
      <c r="E264" s="1">
        <f>MAX(alpha*E265+(1+alpha)/2*(D264-D265),0)</f>
        <v>1.719124736052333E-2</v>
      </c>
      <c r="F264" s="1">
        <f t="shared" si="17"/>
        <v>0.33563989905841407</v>
      </c>
      <c r="G264" s="1">
        <f>MAX(alpha*G263+(1+alpha)/2*(F264-F263),0)</f>
        <v>0</v>
      </c>
      <c r="H264" s="1">
        <f t="shared" si="18"/>
        <v>0.33563989905841407</v>
      </c>
    </row>
    <row r="265" spans="1:8" x14ac:dyDescent="0.35">
      <c r="A265" s="3">
        <f t="shared" si="15"/>
        <v>44063</v>
      </c>
      <c r="B265" s="1">
        <v>0.35537349883607167</v>
      </c>
      <c r="C265" s="1">
        <f>MAX(alpha*C264+(1+alpha)/2*(B265-B264),0)</f>
        <v>2.0613545516955717E-3</v>
      </c>
      <c r="D265" s="1">
        <f t="shared" si="16"/>
        <v>0.35331214428437607</v>
      </c>
      <c r="E265" s="1">
        <f>MAX(alpha*E266+(1+alpha)/2*(D265-D266),0)</f>
        <v>1.9085630060549221E-2</v>
      </c>
      <c r="F265" s="1">
        <f t="shared" si="17"/>
        <v>0.33422651422382688</v>
      </c>
      <c r="G265" s="1">
        <f>MAX(alpha*G264+(1+alpha)/2*(F265-F264),0)</f>
        <v>0</v>
      </c>
      <c r="H265" s="1">
        <f t="shared" si="18"/>
        <v>0.33422651422382688</v>
      </c>
    </row>
    <row r="266" spans="1:8" x14ac:dyDescent="0.35">
      <c r="A266" s="3">
        <f t="shared" si="15"/>
        <v>44064</v>
      </c>
      <c r="B266" s="1">
        <v>0.35822159894666544</v>
      </c>
      <c r="C266" s="1">
        <f>MAX(alpha*C265+(1+alpha)/2*(B266-B265),0)</f>
        <v>4.6480493167649134E-3</v>
      </c>
      <c r="D266" s="1">
        <f t="shared" si="16"/>
        <v>0.35357354962990051</v>
      </c>
      <c r="E266" s="1">
        <f>MAX(alpha*E267+(1+alpha)/2*(D266-D267),0)</f>
        <v>2.0905116438504311E-2</v>
      </c>
      <c r="F266" s="1">
        <f t="shared" si="17"/>
        <v>0.33266843319139622</v>
      </c>
      <c r="G266" s="1">
        <f>MAX(alpha*G265+(1+alpha)/2*(F266-F265),0)</f>
        <v>0</v>
      </c>
      <c r="H266" s="1">
        <f t="shared" si="18"/>
        <v>0.33266843319139622</v>
      </c>
    </row>
    <row r="267" spans="1:8" x14ac:dyDescent="0.35">
      <c r="A267" s="3">
        <f t="shared" si="15"/>
        <v>44065</v>
      </c>
      <c r="B267" s="1">
        <v>0.33185394813535057</v>
      </c>
      <c r="C267" s="1">
        <f>MAX(alpha*C266+(1+alpha)/2*(B267-B266),0)</f>
        <v>0</v>
      </c>
      <c r="D267" s="1">
        <f t="shared" si="16"/>
        <v>0.33185394813535057</v>
      </c>
      <c r="E267" s="1">
        <f>MAX(alpha*E268+(1+alpha)/2*(D267-D268),0)</f>
        <v>0</v>
      </c>
      <c r="F267" s="1">
        <f t="shared" si="17"/>
        <v>0.33185394813535057</v>
      </c>
      <c r="G267" s="1">
        <f>MAX(alpha*G266+(1+alpha)/2*(F267-F266),0)</f>
        <v>0</v>
      </c>
      <c r="H267" s="1">
        <f t="shared" si="18"/>
        <v>0.33185394813535057</v>
      </c>
    </row>
    <row r="268" spans="1:8" x14ac:dyDescent="0.35">
      <c r="A268" s="3">
        <f t="shared" si="15"/>
        <v>44066</v>
      </c>
      <c r="B268" s="1">
        <v>0.3319861284447278</v>
      </c>
      <c r="C268" s="1">
        <f>MAX(alpha*C267+(1+alpha)/2*(B268-B267),0)</f>
        <v>1.2722354777558177E-4</v>
      </c>
      <c r="D268" s="1">
        <f t="shared" si="16"/>
        <v>0.33185890489695224</v>
      </c>
      <c r="E268" s="1">
        <f>MAX(alpha*E269+(1+alpha)/2*(D268-D269),0)</f>
        <v>0</v>
      </c>
      <c r="F268" s="1">
        <f t="shared" si="17"/>
        <v>0.33185890489695224</v>
      </c>
      <c r="G268" s="1">
        <f>MAX(alpha*G267+(1+alpha)/2*(F268-F267),0)</f>
        <v>4.7708830416083595E-6</v>
      </c>
      <c r="H268" s="1">
        <f t="shared" si="18"/>
        <v>0.33185413401391062</v>
      </c>
    </row>
    <row r="269" spans="1:8" x14ac:dyDescent="0.35">
      <c r="A269" s="3">
        <f t="shared" si="15"/>
        <v>44067</v>
      </c>
      <c r="B269" s="1">
        <v>0.33861435597611639</v>
      </c>
      <c r="C269" s="1">
        <f>MAX(alpha*C268+(1+alpha)/2*(B269-B268),0)</f>
        <v>6.4973507806539276E-3</v>
      </c>
      <c r="D269" s="1">
        <f t="shared" si="16"/>
        <v>0.33211700519546244</v>
      </c>
      <c r="E269" s="1">
        <f>MAX(alpha*E270+(1+alpha)/2*(D269-D270),0)</f>
        <v>0</v>
      </c>
      <c r="F269" s="1">
        <f t="shared" si="17"/>
        <v>0.33211700519546244</v>
      </c>
      <c r="G269" s="1">
        <f>MAX(alpha*G268+(1+alpha)/2*(F269-F268),0)</f>
        <v>2.5283460412955515E-4</v>
      </c>
      <c r="H269" s="1">
        <f t="shared" si="18"/>
        <v>0.33186417059133289</v>
      </c>
    </row>
    <row r="270" spans="1:8" x14ac:dyDescent="0.35">
      <c r="A270" s="3">
        <f t="shared" si="15"/>
        <v>44068</v>
      </c>
      <c r="B270" s="1">
        <v>0.98225843492657416</v>
      </c>
      <c r="C270" s="1">
        <f>MAX(alpha*C269+(1+alpha)/2*(B270-B269),0)</f>
        <v>0.6255174754619206</v>
      </c>
      <c r="D270" s="1">
        <f t="shared" si="16"/>
        <v>0.35674095946465356</v>
      </c>
      <c r="E270" s="1">
        <f>MAX(alpha*E271+(1+alpha)/2*(D270-D271),0)</f>
        <v>0</v>
      </c>
      <c r="F270" s="1">
        <f t="shared" si="17"/>
        <v>0.35674095946465356</v>
      </c>
      <c r="G270" s="1">
        <f>MAX(alpha*G269+(1+alpha)/2*(F270-F269),0)</f>
        <v>2.3934427992916292E-2</v>
      </c>
      <c r="H270" s="1">
        <f t="shared" si="18"/>
        <v>0.33280653147173728</v>
      </c>
    </row>
    <row r="271" spans="1:8" x14ac:dyDescent="0.35">
      <c r="A271" s="3">
        <f t="shared" si="15"/>
        <v>44069</v>
      </c>
      <c r="B271" s="1">
        <v>0.53700877651340495</v>
      </c>
      <c r="C271" s="1">
        <f>MAX(alpha*C270+(1+alpha)/2*(B271-B270),0)</f>
        <v>0.15005086857960115</v>
      </c>
      <c r="D271" s="1">
        <f t="shared" si="16"/>
        <v>0.3869579079338038</v>
      </c>
      <c r="E271" s="1">
        <f>MAX(alpha*E272+(1+alpha)/2*(D271-D272),0)</f>
        <v>3.231820644086985E-3</v>
      </c>
      <c r="F271" s="1">
        <f t="shared" si="17"/>
        <v>0.3837260872897168</v>
      </c>
      <c r="G271" s="1">
        <f>MAX(alpha*G270+(1+alpha)/2*(F271-F270),0)</f>
        <v>4.8112531425070937E-2</v>
      </c>
      <c r="H271" s="1">
        <f t="shared" si="18"/>
        <v>0.33561355586464586</v>
      </c>
    </row>
    <row r="272" spans="1:8" x14ac:dyDescent="0.35">
      <c r="A272" s="3">
        <f t="shared" si="15"/>
        <v>44070</v>
      </c>
      <c r="B272" s="1">
        <v>0.57620954708862304</v>
      </c>
      <c r="C272" s="1">
        <f>MAX(alpha*C271+(1+alpha)/2*(B272-B271),0)</f>
        <v>0.17652779511477851</v>
      </c>
      <c r="D272" s="1">
        <f t="shared" si="16"/>
        <v>0.39968175197384453</v>
      </c>
      <c r="E272" s="1">
        <f>MAX(alpha*E273+(1+alpha)/2*(D272-D273),0)</f>
        <v>1.6733535710947232E-2</v>
      </c>
      <c r="F272" s="1">
        <f t="shared" si="17"/>
        <v>0.38294821626289732</v>
      </c>
      <c r="G272" s="1">
        <f>MAX(alpha*G271+(1+alpha)/2*(F272-F271),0)</f>
        <v>4.3755390704876877E-2</v>
      </c>
      <c r="H272" s="1">
        <f t="shared" si="18"/>
        <v>0.33919282555802044</v>
      </c>
    </row>
    <row r="273" spans="1:8" x14ac:dyDescent="0.35">
      <c r="A273" s="3">
        <f t="shared" si="15"/>
        <v>44071</v>
      </c>
      <c r="B273" s="1">
        <v>0.7357925729794067</v>
      </c>
      <c r="C273" s="1">
        <f>MAX(alpha*C272+(1+alpha)/2*(B273-B272),0)</f>
        <v>0.31688687290104939</v>
      </c>
      <c r="D273" s="1">
        <f t="shared" si="16"/>
        <v>0.41890570007835731</v>
      </c>
      <c r="E273" s="1">
        <f>MAX(alpha*E274+(1+alpha)/2*(D273-D274),0)</f>
        <v>3.8093606228692733E-2</v>
      </c>
      <c r="F273" s="1">
        <f t="shared" si="17"/>
        <v>0.38081209384966458</v>
      </c>
      <c r="G273" s="1">
        <f>MAX(alpha*G272+(1+alpha)/2*(F273-F272),0)</f>
        <v>3.8417718579274597E-2</v>
      </c>
      <c r="H273" s="1">
        <f t="shared" si="18"/>
        <v>0.34239437527038996</v>
      </c>
    </row>
    <row r="274" spans="1:8" x14ac:dyDescent="0.35">
      <c r="A274" s="3">
        <f t="shared" si="15"/>
        <v>44072</v>
      </c>
      <c r="B274" s="1">
        <v>0.65958122979845413</v>
      </c>
      <c r="C274" s="1">
        <f>MAX(alpha*C273+(1+alpha)/2*(B274-B273),0)</f>
        <v>0.21976693962180385</v>
      </c>
      <c r="D274" s="1">
        <f t="shared" si="16"/>
        <v>0.4398142901766503</v>
      </c>
      <c r="E274" s="1">
        <f>MAX(alpha*E275+(1+alpha)/2*(D274-D275),0)</f>
        <v>6.2938512646810524E-2</v>
      </c>
      <c r="F274" s="1">
        <f t="shared" si="17"/>
        <v>0.37687577752983981</v>
      </c>
      <c r="G274" s="1">
        <f>MAX(alpha*G273+(1+alpha)/2*(F274-F273),0)</f>
        <v>3.174768522799766E-2</v>
      </c>
      <c r="H274" s="1">
        <f t="shared" si="18"/>
        <v>0.34512809230184216</v>
      </c>
    </row>
    <row r="275" spans="1:8" x14ac:dyDescent="0.35">
      <c r="A275" s="3">
        <f t="shared" si="15"/>
        <v>44073</v>
      </c>
      <c r="B275" s="1">
        <v>0.45549081673298764</v>
      </c>
      <c r="C275" s="1">
        <f>MAX(alpha*C274+(1+alpha)/2*(B275-B274),0)</f>
        <v>6.8473965746570498E-3</v>
      </c>
      <c r="D275" s="1">
        <f t="shared" si="16"/>
        <v>0.44864342015833059</v>
      </c>
      <c r="E275" s="1">
        <f>MAX(alpha*E276+(1+alpha)/2*(D275-D276),0)</f>
        <v>7.7228702977489502E-2</v>
      </c>
      <c r="F275" s="1">
        <f t="shared" si="17"/>
        <v>0.37141471718084107</v>
      </c>
      <c r="G275" s="1">
        <f>MAX(alpha*G274+(1+alpha)/2*(F275-F274),0)</f>
        <v>2.4110338249986551E-2</v>
      </c>
      <c r="H275" s="1">
        <f t="shared" si="18"/>
        <v>0.34730437893085453</v>
      </c>
    </row>
    <row r="276" spans="1:8" x14ac:dyDescent="0.35">
      <c r="A276" s="3">
        <f t="shared" si="15"/>
        <v>44074</v>
      </c>
      <c r="B276" s="1">
        <v>0.41493024037798421</v>
      </c>
      <c r="C276" s="1">
        <f>MAX(alpha*C275+(1+alpha)/2*(B276-B275),0)</f>
        <v>0</v>
      </c>
      <c r="D276" s="1">
        <f t="shared" si="16"/>
        <v>0.41493024037798421</v>
      </c>
      <c r="E276" s="1">
        <f>MAX(alpha*E277+(1+alpha)/2*(D276-D277),0)</f>
        <v>4.841055939341201E-2</v>
      </c>
      <c r="F276" s="1">
        <f t="shared" si="17"/>
        <v>0.36651968098457222</v>
      </c>
      <c r="G276" s="1">
        <f>MAX(alpha*G275+(1+alpha)/2*(F276-F275),0)</f>
        <v>1.7590590542328789E-2</v>
      </c>
      <c r="H276" s="1">
        <f t="shared" si="18"/>
        <v>0.34892909044224341</v>
      </c>
    </row>
    <row r="277" spans="1:8" x14ac:dyDescent="0.35">
      <c r="A277" s="3">
        <f t="shared" si="15"/>
        <v>44075</v>
      </c>
      <c r="B277" s="1">
        <v>0.38555365975412648</v>
      </c>
      <c r="C277" s="1">
        <f>MAX(alpha*C276+(1+alpha)/2*(B277-B276),0)</f>
        <v>0</v>
      </c>
      <c r="D277" s="1">
        <f t="shared" si="16"/>
        <v>0.38555365975412648</v>
      </c>
      <c r="E277" s="1">
        <f>MAX(alpha*E278+(1+alpha)/2*(D277-D278),0)</f>
        <v>2.1768216803188051E-2</v>
      </c>
      <c r="F277" s="1">
        <f t="shared" si="17"/>
        <v>0.3637854429509384</v>
      </c>
      <c r="G277" s="1">
        <f>MAX(alpha*G276+(1+alpha)/2*(F277-F276),0)</f>
        <v>1.3639592144281579E-2</v>
      </c>
      <c r="H277" s="1">
        <f t="shared" si="18"/>
        <v>0.35014585080665683</v>
      </c>
    </row>
    <row r="278" spans="1:8" x14ac:dyDescent="0.35">
      <c r="A278" s="3">
        <f t="shared" si="15"/>
        <v>44076</v>
      </c>
      <c r="B278" s="1">
        <v>0.61979521936282722</v>
      </c>
      <c r="C278" s="1">
        <f>MAX(alpha*C277+(1+alpha)/2*(B278-B277),0)</f>
        <v>0.22545750112337448</v>
      </c>
      <c r="D278" s="1">
        <f t="shared" si="16"/>
        <v>0.39433771823945274</v>
      </c>
      <c r="E278" s="1">
        <f>MAX(alpha*E279+(1+alpha)/2*(D278-D279),0)</f>
        <v>3.2673376319258998E-2</v>
      </c>
      <c r="F278" s="1">
        <f t="shared" si="17"/>
        <v>0.36166434192019375</v>
      </c>
      <c r="G278" s="1">
        <f>MAX(alpha*G277+(1+alpha)/2*(F278-F277),0)</f>
        <v>1.0575062991368742E-2</v>
      </c>
      <c r="H278" s="1">
        <f t="shared" si="18"/>
        <v>0.35108927892882502</v>
      </c>
    </row>
    <row r="279" spans="1:8" x14ac:dyDescent="0.35">
      <c r="A279" s="3">
        <f t="shared" si="15"/>
        <v>44077</v>
      </c>
      <c r="B279" s="1">
        <v>0.43393076377385681</v>
      </c>
      <c r="C279" s="1">
        <f>MAX(alpha*C278+(1+alpha)/2*(B279-B278),0)</f>
        <v>2.9653650034737383E-2</v>
      </c>
      <c r="D279" s="1">
        <f t="shared" si="16"/>
        <v>0.40427711373911945</v>
      </c>
      <c r="E279" s="1">
        <f>MAX(alpha*E280+(1+alpha)/2*(D279-D280),0)</f>
        <v>4.5664912959662934E-2</v>
      </c>
      <c r="F279" s="1">
        <f t="shared" si="17"/>
        <v>0.35861220077945655</v>
      </c>
      <c r="G279" s="1">
        <f>MAX(alpha*G278+(1+alpha)/2*(F279-F278),0)</f>
        <v>6.8442474190565233E-3</v>
      </c>
      <c r="H279" s="1">
        <f t="shared" si="18"/>
        <v>0.35176795336040001</v>
      </c>
    </row>
    <row r="280" spans="1:8" x14ac:dyDescent="0.35">
      <c r="A280" s="3">
        <f t="shared" si="15"/>
        <v>44078</v>
      </c>
      <c r="B280" s="1">
        <v>0.3961719460926742</v>
      </c>
      <c r="C280" s="1">
        <f>MAX(alpha*C279+(1+alpha)/2*(B280-B279),0)</f>
        <v>0</v>
      </c>
      <c r="D280" s="1">
        <f t="shared" si="16"/>
        <v>0.3961719460926742</v>
      </c>
      <c r="E280" s="1">
        <f>MAX(alpha*E281+(1+alpha)/2*(D280-D281),0)</f>
        <v>4.0933717945902025E-2</v>
      </c>
      <c r="F280" s="1">
        <f t="shared" si="17"/>
        <v>0.35523822814677219</v>
      </c>
      <c r="G280" s="1">
        <f>MAX(alpha*G279+(1+alpha)/2*(F280-F279),0)</f>
        <v>3.083480203668595E-3</v>
      </c>
      <c r="H280" s="1">
        <f t="shared" si="18"/>
        <v>0.35215474794310359</v>
      </c>
    </row>
    <row r="281" spans="1:8" x14ac:dyDescent="0.35">
      <c r="A281" s="3">
        <f t="shared" si="15"/>
        <v>44079</v>
      </c>
      <c r="B281" s="1">
        <v>0.36584469016684312</v>
      </c>
      <c r="C281" s="1">
        <f>MAX(alpha*C280+(1+alpha)/2*(B281-B280),0)</f>
        <v>0</v>
      </c>
      <c r="D281" s="1">
        <f t="shared" si="16"/>
        <v>0.36584469016684312</v>
      </c>
      <c r="E281" s="1">
        <f>MAX(alpha*E282+(1+alpha)/2*(D281-D282),0)</f>
        <v>1.2695928775448229E-2</v>
      </c>
      <c r="F281" s="1">
        <f t="shared" si="17"/>
        <v>0.35314876139139489</v>
      </c>
      <c r="G281" s="1">
        <f>MAX(alpha*G280+(1+alpha)/2*(F281-F280),0)</f>
        <v>8.4110743634279892E-4</v>
      </c>
      <c r="H281" s="1">
        <f t="shared" si="18"/>
        <v>0.35230765395505209</v>
      </c>
    </row>
    <row r="282" spans="1:8" x14ac:dyDescent="0.35">
      <c r="A282" s="3">
        <f t="shared" si="15"/>
        <v>44080</v>
      </c>
      <c r="B282" s="1">
        <v>0.36418077925284087</v>
      </c>
      <c r="C282" s="1">
        <f>MAX(alpha*C281+(1+alpha)/2*(B282-B281),0)</f>
        <v>0</v>
      </c>
      <c r="D282" s="1">
        <f t="shared" si="16"/>
        <v>0.36418077925284087</v>
      </c>
      <c r="E282" s="1">
        <f>MAX(alpha*E283+(1+alpha)/2*(D282-D283),0)</f>
        <v>1.1993961644022767E-2</v>
      </c>
      <c r="F282" s="1">
        <f t="shared" si="17"/>
        <v>0.35218681760881809</v>
      </c>
      <c r="G282" s="1">
        <f>MAX(alpha*G281+(1+alpha)/2*(F282-F281),0)</f>
        <v>0</v>
      </c>
      <c r="H282" s="1">
        <f t="shared" si="18"/>
        <v>0.35218681760881809</v>
      </c>
    </row>
    <row r="283" spans="1:8" x14ac:dyDescent="0.35">
      <c r="A283" s="3">
        <f t="shared" si="15"/>
        <v>44081</v>
      </c>
      <c r="B283" s="1">
        <v>0.35171952040190813</v>
      </c>
      <c r="C283" s="1">
        <f>MAX(alpha*C282+(1+alpha)/2*(B283-B282),0)</f>
        <v>0</v>
      </c>
      <c r="D283" s="1">
        <f t="shared" si="16"/>
        <v>0.35171952040190813</v>
      </c>
      <c r="E283" s="1">
        <f>MAX(alpha*E284+(1+alpha)/2*(D283-D284),0)</f>
        <v>0</v>
      </c>
      <c r="F283" s="1">
        <f t="shared" si="17"/>
        <v>0.35171952040190813</v>
      </c>
      <c r="G283" s="1">
        <f>MAX(alpha*G282+(1+alpha)/2*(F283-F282),0)</f>
        <v>0</v>
      </c>
      <c r="H283" s="1">
        <f t="shared" si="18"/>
        <v>0.35171952040190813</v>
      </c>
    </row>
    <row r="284" spans="1:8" x14ac:dyDescent="0.35">
      <c r="A284" s="3">
        <f t="shared" si="15"/>
        <v>44082</v>
      </c>
      <c r="B284" s="1">
        <v>0.63931912016996373</v>
      </c>
      <c r="C284" s="1">
        <f>MAX(alpha*C283+(1+alpha)/2*(B284-B283),0)</f>
        <v>0.27681461477675351</v>
      </c>
      <c r="D284" s="1">
        <f t="shared" si="16"/>
        <v>0.36250450539321022</v>
      </c>
      <c r="E284" s="1">
        <f>MAX(alpha*E285+(1+alpha)/2*(D284-D285),0)</f>
        <v>0</v>
      </c>
      <c r="F284" s="1">
        <f t="shared" si="17"/>
        <v>0.36250450539321022</v>
      </c>
      <c r="G284" s="1">
        <f>MAX(alpha*G283+(1+alpha)/2*(F284-F283),0)</f>
        <v>1.0380548054128266E-2</v>
      </c>
      <c r="H284" s="1">
        <f t="shared" si="18"/>
        <v>0.35212395733908197</v>
      </c>
    </row>
    <row r="285" spans="1:8" x14ac:dyDescent="0.35">
      <c r="A285" s="3">
        <f t="shared" si="15"/>
        <v>44083</v>
      </c>
      <c r="B285" s="1">
        <v>0.70196606259242511</v>
      </c>
      <c r="C285" s="1">
        <f>MAX(alpha*C284+(1+alpha)/2*(B285-B284),0)</f>
        <v>0.31635120075011608</v>
      </c>
      <c r="D285" s="1">
        <f t="shared" si="16"/>
        <v>0.38561486184230903</v>
      </c>
      <c r="E285" s="1">
        <f>MAX(alpha*E286+(1+alpha)/2*(D285-D286),0)</f>
        <v>0</v>
      </c>
      <c r="F285" s="1">
        <f t="shared" si="17"/>
        <v>0.38561486184230903</v>
      </c>
      <c r="G285" s="1">
        <f>MAX(alpha*G284+(1+alpha)/2*(F285-F284),0)</f>
        <v>3.1845725032326251E-2</v>
      </c>
      <c r="H285" s="1">
        <f t="shared" si="18"/>
        <v>0.35376913680998279</v>
      </c>
    </row>
    <row r="286" spans="1:8" x14ac:dyDescent="0.35">
      <c r="A286" s="3">
        <f t="shared" si="15"/>
        <v>44084</v>
      </c>
      <c r="B286" s="1">
        <v>0.85432166061878678</v>
      </c>
      <c r="C286" s="1">
        <f>MAX(alpha*C285+(1+alpha)/2*(B286-B285),0)</f>
        <v>0.4392671237942305</v>
      </c>
      <c r="D286" s="1">
        <f t="shared" si="16"/>
        <v>0.41505453682455629</v>
      </c>
      <c r="E286" s="1">
        <f>MAX(alpha*E287+(1+alpha)/2*(D286-D287),0)</f>
        <v>9.2385602780987452E-3</v>
      </c>
      <c r="F286" s="1">
        <f t="shared" si="17"/>
        <v>0.40581597654645751</v>
      </c>
      <c r="G286" s="1">
        <f>MAX(alpha*G285+(1+alpha)/2*(F286-F285),0)</f>
        <v>4.8900868557644694E-2</v>
      </c>
      <c r="H286" s="1">
        <f t="shared" si="18"/>
        <v>0.35691510798881282</v>
      </c>
    </row>
    <row r="287" spans="1:8" x14ac:dyDescent="0.35">
      <c r="A287" s="3">
        <f t="shared" si="15"/>
        <v>44085</v>
      </c>
      <c r="B287" s="1">
        <v>0.88756819379921004</v>
      </c>
      <c r="C287" s="1">
        <f>MAX(alpha*C286+(1+alpha)/2*(B287-B286),0)</f>
        <v>0.43832187769582065</v>
      </c>
      <c r="D287" s="1">
        <f t="shared" si="16"/>
        <v>0.44924631610338939</v>
      </c>
      <c r="E287" s="1">
        <f>MAX(alpha*E288+(1+alpha)/2*(D287-D288),0)</f>
        <v>4.556556522591957E-2</v>
      </c>
      <c r="F287" s="1">
        <f t="shared" si="17"/>
        <v>0.4036807508774698</v>
      </c>
      <c r="G287" s="1">
        <f>MAX(alpha*G286+(1+alpha)/2*(F287-F286),0)</f>
        <v>4.3178148709420668E-2</v>
      </c>
      <c r="H287" s="1">
        <f t="shared" si="18"/>
        <v>0.36050260216804914</v>
      </c>
    </row>
    <row r="288" spans="1:8" x14ac:dyDescent="0.35">
      <c r="A288" s="3">
        <f t="shared" si="15"/>
        <v>44086</v>
      </c>
      <c r="B288" s="1">
        <v>1.2745304260948724</v>
      </c>
      <c r="C288" s="1">
        <f>MAX(alpha*C287+(1+alpha)/2*(B288-B287),0)</f>
        <v>0.77789888545320918</v>
      </c>
      <c r="D288" s="1">
        <f t="shared" si="16"/>
        <v>0.49663154064166326</v>
      </c>
      <c r="E288" s="1">
        <f>MAX(alpha*E289+(1+alpha)/2*(D288-D289),0)</f>
        <v>9.8566317669198017E-2</v>
      </c>
      <c r="F288" s="1">
        <f t="shared" si="17"/>
        <v>0.39806522297246527</v>
      </c>
      <c r="G288" s="1">
        <f>MAX(alpha*G287+(1+alpha)/2*(F288-F287),0)</f>
        <v>3.4534841947647263E-2</v>
      </c>
      <c r="H288" s="1">
        <f t="shared" si="18"/>
        <v>0.36353038102481799</v>
      </c>
    </row>
    <row r="289" spans="1:8" x14ac:dyDescent="0.35">
      <c r="A289" s="3">
        <f t="shared" si="15"/>
        <v>44087</v>
      </c>
      <c r="B289" s="1">
        <v>0.78616918430453575</v>
      </c>
      <c r="C289" s="1">
        <f>MAX(alpha*C288+(1+alpha)/2*(B289-B288),0)</f>
        <v>0.24950877382101949</v>
      </c>
      <c r="D289" s="1">
        <f t="shared" si="16"/>
        <v>0.5366604104835162</v>
      </c>
      <c r="E289" s="1">
        <f>MAX(alpha*E290+(1+alpha)/2*(D289-D290),0)</f>
        <v>0.14820984312646646</v>
      </c>
      <c r="F289" s="1">
        <f t="shared" si="17"/>
        <v>0.38845056735704975</v>
      </c>
      <c r="G289" s="1">
        <f>MAX(alpha*G288+(1+alpha)/2*(F289-F288),0)</f>
        <v>2.269062277173628E-2</v>
      </c>
      <c r="H289" s="1">
        <f t="shared" si="18"/>
        <v>0.36575994458531347</v>
      </c>
    </row>
    <row r="290" spans="1:8" x14ac:dyDescent="0.35">
      <c r="A290" s="3">
        <f t="shared" si="15"/>
        <v>44088</v>
      </c>
      <c r="B290" s="1">
        <v>0.57690026787591897</v>
      </c>
      <c r="C290" s="1">
        <f>MAX(alpha*C289+(1+alpha)/2*(B290-B289),0)</f>
        <v>2.9374283721899402E-2</v>
      </c>
      <c r="D290" s="1">
        <f t="shared" si="16"/>
        <v>0.54752598415401954</v>
      </c>
      <c r="E290" s="1">
        <f>MAX(alpha*E291+(1+alpha)/2*(D290-D291),0)</f>
        <v>0.17153292733440637</v>
      </c>
      <c r="F290" s="1">
        <f t="shared" si="17"/>
        <v>0.37599305681961315</v>
      </c>
      <c r="G290" s="1">
        <f>MAX(alpha*G289+(1+alpha)/2*(F290-F289),0)</f>
        <v>8.9984721715733306E-3</v>
      </c>
      <c r="H290" s="1">
        <f t="shared" si="18"/>
        <v>0.3669945846480398</v>
      </c>
    </row>
    <row r="291" spans="1:8" x14ac:dyDescent="0.35">
      <c r="A291" s="3">
        <f t="shared" ref="A291:A354" si="19">A290+1</f>
        <v>44089</v>
      </c>
      <c r="B291" s="1">
        <v>0.49109454433463195</v>
      </c>
      <c r="C291" s="1">
        <f>MAX(alpha*C290+(1+alpha)/2*(B291-B290),0)</f>
        <v>0</v>
      </c>
      <c r="D291" s="1">
        <f t="shared" si="16"/>
        <v>0.49109454433463195</v>
      </c>
      <c r="E291" s="1">
        <f>MAX(alpha*E292+(1+alpha)/2*(D291-D292),0)</f>
        <v>0.12672180163053601</v>
      </c>
      <c r="F291" s="1">
        <f t="shared" si="17"/>
        <v>0.36437274270409592</v>
      </c>
      <c r="G291" s="1">
        <f>MAX(alpha*G290+(1+alpha)/2*(F291-F290),0)</f>
        <v>0</v>
      </c>
      <c r="H291" s="1">
        <f t="shared" si="18"/>
        <v>0.36437274270409592</v>
      </c>
    </row>
    <row r="292" spans="1:8" x14ac:dyDescent="0.35">
      <c r="A292" s="3">
        <f t="shared" si="19"/>
        <v>44090</v>
      </c>
      <c r="B292" s="1">
        <v>0.44682164539829311</v>
      </c>
      <c r="C292" s="1">
        <f>MAX(alpha*C291+(1+alpha)/2*(B292-B291),0)</f>
        <v>0</v>
      </c>
      <c r="D292" s="1">
        <f t="shared" si="16"/>
        <v>0.44682164539829311</v>
      </c>
      <c r="E292" s="1">
        <f>MAX(alpha*E293+(1+alpha)/2*(D292-D293),0)</f>
        <v>9.0928796112767427E-2</v>
      </c>
      <c r="F292" s="1">
        <f t="shared" si="17"/>
        <v>0.35589284928552567</v>
      </c>
      <c r="G292" s="1">
        <f>MAX(alpha*G291+(1+alpha)/2*(F292-F291),0)</f>
        <v>0</v>
      </c>
      <c r="H292" s="1">
        <f t="shared" si="18"/>
        <v>0.35589284928552567</v>
      </c>
    </row>
    <row r="293" spans="1:8" x14ac:dyDescent="0.35">
      <c r="A293" s="3">
        <f t="shared" si="19"/>
        <v>44091</v>
      </c>
      <c r="B293" s="1">
        <v>0.41778120615490272</v>
      </c>
      <c r="C293" s="1">
        <f>MAX(alpha*C292+(1+alpha)/2*(B293-B292),0)</f>
        <v>0</v>
      </c>
      <c r="D293" s="1">
        <f t="shared" si="16"/>
        <v>0.41778120615490272</v>
      </c>
      <c r="E293" s="1">
        <f>MAX(alpha*E294+(1+alpha)/2*(D293-D294),0)</f>
        <v>6.8083646855139637E-2</v>
      </c>
      <c r="F293" s="1">
        <f t="shared" si="17"/>
        <v>0.34969755929976309</v>
      </c>
      <c r="G293" s="1">
        <f>MAX(alpha*G292+(1+alpha)/2*(F293-F292),0)</f>
        <v>0</v>
      </c>
      <c r="H293" s="1">
        <f t="shared" si="18"/>
        <v>0.34969755929976309</v>
      </c>
    </row>
    <row r="294" spans="1:8" x14ac:dyDescent="0.35">
      <c r="A294" s="3">
        <f t="shared" si="19"/>
        <v>44092</v>
      </c>
      <c r="B294" s="1">
        <v>0.41690604581775964</v>
      </c>
      <c r="C294" s="1">
        <f>MAX(alpha*C293+(1+alpha)/2*(B294-B293),0)</f>
        <v>0</v>
      </c>
      <c r="D294" s="1">
        <f t="shared" si="16"/>
        <v>0.41690604581775964</v>
      </c>
      <c r="E294" s="1">
        <f>MAX(alpha*E295+(1+alpha)/2*(D294-D295),0)</f>
        <v>7.2693302735826401E-2</v>
      </c>
      <c r="F294" s="1">
        <f t="shared" si="17"/>
        <v>0.34421274308193323</v>
      </c>
      <c r="G294" s="1">
        <f>MAX(alpha*G293+(1+alpha)/2*(F294-F293),0)</f>
        <v>0</v>
      </c>
      <c r="H294" s="1">
        <f t="shared" si="18"/>
        <v>0.34421274308193323</v>
      </c>
    </row>
    <row r="295" spans="1:8" x14ac:dyDescent="0.35">
      <c r="A295" s="3">
        <f t="shared" si="19"/>
        <v>44093</v>
      </c>
      <c r="B295" s="1">
        <v>0.38708106695045735</v>
      </c>
      <c r="C295" s="1">
        <f>MAX(alpha*C294+(1+alpha)/2*(B295-B294),0)</f>
        <v>0</v>
      </c>
      <c r="D295" s="1">
        <f t="shared" si="16"/>
        <v>0.38708106695045735</v>
      </c>
      <c r="E295" s="1">
        <f>MAX(alpha*E296+(1+alpha)/2*(D295-D296),0)</f>
        <v>4.7553254676808585E-2</v>
      </c>
      <c r="F295" s="1">
        <f t="shared" si="17"/>
        <v>0.33952781227364875</v>
      </c>
      <c r="G295" s="1">
        <f>MAX(alpha*G294+(1+alpha)/2*(F295-F294),0)</f>
        <v>0</v>
      </c>
      <c r="H295" s="1">
        <f t="shared" si="18"/>
        <v>0.33952781227364875</v>
      </c>
    </row>
    <row r="296" spans="1:8" x14ac:dyDescent="0.35">
      <c r="A296" s="3">
        <f t="shared" si="19"/>
        <v>44094</v>
      </c>
      <c r="B296" s="1">
        <v>0.36590069251669027</v>
      </c>
      <c r="C296" s="1">
        <f>MAX(alpha*C295+(1+alpha)/2*(B296-B295),0)</f>
        <v>0</v>
      </c>
      <c r="D296" s="1">
        <f t="shared" si="16"/>
        <v>0.36590069251669027</v>
      </c>
      <c r="E296" s="1">
        <f>MAX(alpha*E297+(1+alpha)/2*(D296-D297),0)</f>
        <v>2.9369885712765158E-2</v>
      </c>
      <c r="F296" s="1">
        <f t="shared" si="17"/>
        <v>0.33653080680392511</v>
      </c>
      <c r="G296" s="1">
        <f>MAX(alpha*G295+(1+alpha)/2*(F296-F295),0)</f>
        <v>0</v>
      </c>
      <c r="H296" s="1">
        <f t="shared" si="18"/>
        <v>0.33653080680392511</v>
      </c>
    </row>
    <row r="297" spans="1:8" x14ac:dyDescent="0.35">
      <c r="A297" s="3">
        <f t="shared" si="19"/>
        <v>44095</v>
      </c>
      <c r="B297" s="1">
        <v>0.36929734818729459</v>
      </c>
      <c r="C297" s="1">
        <f>MAX(alpha*C296+(1+alpha)/2*(B297-B296),0)</f>
        <v>3.2692810829566587E-3</v>
      </c>
      <c r="D297" s="1">
        <f t="shared" si="16"/>
        <v>0.36602806710433794</v>
      </c>
      <c r="E297" s="1">
        <f>MAX(alpha*E298+(1+alpha)/2*(D297-D298),0)</f>
        <v>3.188376621986598E-2</v>
      </c>
      <c r="F297" s="1">
        <f t="shared" si="17"/>
        <v>0.33414430088447195</v>
      </c>
      <c r="G297" s="1">
        <f>MAX(alpha*G296+(1+alpha)/2*(F297-F296),0)</f>
        <v>0</v>
      </c>
      <c r="H297" s="1">
        <f t="shared" si="18"/>
        <v>0.33414430088447195</v>
      </c>
    </row>
    <row r="298" spans="1:8" x14ac:dyDescent="0.35">
      <c r="A298" s="3">
        <f t="shared" si="19"/>
        <v>44096</v>
      </c>
      <c r="B298" s="1">
        <v>0.39230211624391381</v>
      </c>
      <c r="C298" s="1">
        <f>MAX(alpha*C297+(1+alpha)/2*(B298-B297),0)</f>
        <v>2.5166174256230908E-2</v>
      </c>
      <c r="D298" s="1">
        <f t="shared" si="16"/>
        <v>0.3671359419876829</v>
      </c>
      <c r="E298" s="1">
        <f>MAX(alpha*E299+(1+alpha)/2*(D298-D299),0)</f>
        <v>3.562172518387622E-2</v>
      </c>
      <c r="F298" s="1">
        <f t="shared" si="17"/>
        <v>0.33151421680380666</v>
      </c>
      <c r="G298" s="1">
        <f>MAX(alpha*G297+(1+alpha)/2*(F298-F297),0)</f>
        <v>0</v>
      </c>
      <c r="H298" s="1">
        <f t="shared" si="18"/>
        <v>0.33151421680380666</v>
      </c>
    </row>
    <row r="299" spans="1:8" x14ac:dyDescent="0.35">
      <c r="A299" s="3">
        <f t="shared" si="19"/>
        <v>44097</v>
      </c>
      <c r="B299" s="1">
        <v>0.42348198847571489</v>
      </c>
      <c r="C299" s="1">
        <f>MAX(alpha*C298+(1+alpha)/2*(B299-B298),0)</f>
        <v>5.3289338210122127E-2</v>
      </c>
      <c r="D299" s="1">
        <f t="shared" si="16"/>
        <v>0.37019265026559278</v>
      </c>
      <c r="E299" s="1">
        <f>MAX(alpha*E300+(1+alpha)/2*(D299-D300),0)</f>
        <v>4.1690602055529165E-2</v>
      </c>
      <c r="F299" s="1">
        <f t="shared" si="17"/>
        <v>0.32850204821006362</v>
      </c>
      <c r="G299" s="1">
        <f>MAX(alpha*G298+(1+alpha)/2*(F299-F298),0)</f>
        <v>0</v>
      </c>
      <c r="H299" s="1">
        <f t="shared" si="18"/>
        <v>0.32850204821006362</v>
      </c>
    </row>
    <row r="300" spans="1:8" x14ac:dyDescent="0.35">
      <c r="A300" s="3">
        <f t="shared" si="19"/>
        <v>44098</v>
      </c>
      <c r="B300" s="1">
        <v>0.37129016587624775</v>
      </c>
      <c r="C300" s="1">
        <f>MAX(alpha*C299+(1+alpha)/2*(B300-B299),0)</f>
        <v>0</v>
      </c>
      <c r="D300" s="1">
        <f t="shared" si="16"/>
        <v>0.37129016587624775</v>
      </c>
      <c r="E300" s="1">
        <f>MAX(alpha*E301+(1+alpha)/2*(D300-D301),0)</f>
        <v>4.6212930627875203E-2</v>
      </c>
      <c r="F300" s="1">
        <f t="shared" si="17"/>
        <v>0.32507723524837256</v>
      </c>
      <c r="G300" s="1">
        <f>MAX(alpha*G299+(1+alpha)/2*(F300-F299),0)</f>
        <v>0</v>
      </c>
      <c r="H300" s="1">
        <f t="shared" si="18"/>
        <v>0.32507723524837256</v>
      </c>
    </row>
    <row r="301" spans="1:8" x14ac:dyDescent="0.35">
      <c r="A301" s="3">
        <f t="shared" si="19"/>
        <v>44099</v>
      </c>
      <c r="B301" s="1">
        <v>0.37273357664269602</v>
      </c>
      <c r="C301" s="1">
        <f>MAX(alpha*C300+(1+alpha)/2*(B301-B300),0)</f>
        <v>1.389282862706462E-3</v>
      </c>
      <c r="D301" s="1">
        <f t="shared" si="16"/>
        <v>0.37134429377998956</v>
      </c>
      <c r="E301" s="1">
        <f>MAX(alpha*E302+(1+alpha)/2*(D301-D302),0)</f>
        <v>5.0016247281326164E-2</v>
      </c>
      <c r="F301" s="1">
        <f t="shared" si="17"/>
        <v>0.32132804649866342</v>
      </c>
      <c r="G301" s="1">
        <f>MAX(alpha*G300+(1+alpha)/2*(F301-F300),0)</f>
        <v>0</v>
      </c>
      <c r="H301" s="1">
        <f t="shared" si="18"/>
        <v>0.32132804649866342</v>
      </c>
    </row>
    <row r="302" spans="1:8" x14ac:dyDescent="0.35">
      <c r="A302" s="3">
        <f t="shared" si="19"/>
        <v>44100</v>
      </c>
      <c r="B302" s="1">
        <v>0.36229858009695753</v>
      </c>
      <c r="C302" s="1">
        <f>MAX(alpha*C301+(1+alpha)/2*(B302-B301),0)</f>
        <v>0</v>
      </c>
      <c r="D302" s="1">
        <f t="shared" si="16"/>
        <v>0.36229858009695753</v>
      </c>
      <c r="E302" s="1">
        <f>MAX(alpha*E303+(1+alpha)/2*(D302-D303),0)</f>
        <v>4.4659186877197658E-2</v>
      </c>
      <c r="F302" s="1">
        <f t="shared" si="17"/>
        <v>0.31763939321975987</v>
      </c>
      <c r="G302" s="1">
        <f>MAX(alpha*G301+(1+alpha)/2*(F302-F301),0)</f>
        <v>0</v>
      </c>
      <c r="H302" s="1">
        <f t="shared" si="18"/>
        <v>0.31763939321975987</v>
      </c>
    </row>
    <row r="303" spans="1:8" x14ac:dyDescent="0.35">
      <c r="A303" s="3">
        <f t="shared" si="19"/>
        <v>44101</v>
      </c>
      <c r="B303" s="1">
        <v>0.37663745313663388</v>
      </c>
      <c r="C303" s="1">
        <f>MAX(alpha*C302+(1+alpha)/2*(B303-B302),0)</f>
        <v>1.3801165300688485E-2</v>
      </c>
      <c r="D303" s="1">
        <f t="shared" si="16"/>
        <v>0.3628362878359454</v>
      </c>
      <c r="E303" s="1">
        <f>MAX(alpha*E304+(1+alpha)/2*(D303-D304),0)</f>
        <v>4.8839708730782139E-2</v>
      </c>
      <c r="F303" s="1">
        <f t="shared" si="17"/>
        <v>0.31399657910516326</v>
      </c>
      <c r="G303" s="1">
        <f>MAX(alpha*G302+(1+alpha)/2*(F303-F302),0)</f>
        <v>0</v>
      </c>
      <c r="H303" s="1">
        <f t="shared" si="18"/>
        <v>0.31399657910516326</v>
      </c>
    </row>
    <row r="304" spans="1:8" x14ac:dyDescent="0.35">
      <c r="A304" s="3">
        <f t="shared" si="19"/>
        <v>44102</v>
      </c>
      <c r="B304" s="1">
        <v>0.51676773725918634</v>
      </c>
      <c r="C304" s="1">
        <f>MAX(alpha*C303+(1+alpha)/2*(B304-B303),0)</f>
        <v>0.14764147637109359</v>
      </c>
      <c r="D304" s="1">
        <f t="shared" si="16"/>
        <v>0.36912626088809275</v>
      </c>
      <c r="E304" s="1">
        <f>MAX(alpha*E305+(1+alpha)/2*(D304-D305),0)</f>
        <v>5.9344657074025906E-2</v>
      </c>
      <c r="F304" s="1">
        <f t="shared" si="17"/>
        <v>0.30978160381406683</v>
      </c>
      <c r="G304" s="1">
        <f>MAX(alpha*G303+(1+alpha)/2*(F304-F303),0)</f>
        <v>0</v>
      </c>
      <c r="H304" s="1">
        <f t="shared" si="18"/>
        <v>0.30978160381406683</v>
      </c>
    </row>
    <row r="305" spans="1:8" x14ac:dyDescent="0.35">
      <c r="A305" s="3">
        <f t="shared" si="19"/>
        <v>44103</v>
      </c>
      <c r="B305" s="1">
        <v>0.45034361035931908</v>
      </c>
      <c r="C305" s="1">
        <f>MAX(alpha*C304+(1+alpha)/2*(B305-B304),0)</f>
        <v>7.2635143502139343E-2</v>
      </c>
      <c r="D305" s="1">
        <f t="shared" si="16"/>
        <v>0.37770846685717974</v>
      </c>
      <c r="E305" s="1">
        <f>MAX(alpha*E306+(1+alpha)/2*(D305-D306),0)</f>
        <v>7.3086519264077984E-2</v>
      </c>
      <c r="F305" s="1">
        <f t="shared" si="17"/>
        <v>0.30462194759310174</v>
      </c>
      <c r="G305" s="1">
        <f>MAX(alpha*G304+(1+alpha)/2*(F305-F304),0)</f>
        <v>0</v>
      </c>
      <c r="H305" s="1">
        <f t="shared" si="18"/>
        <v>0.30462194759310174</v>
      </c>
    </row>
    <row r="306" spans="1:8" x14ac:dyDescent="0.35">
      <c r="A306" s="3">
        <f t="shared" si="19"/>
        <v>44104</v>
      </c>
      <c r="B306" s="1">
        <v>0.41905886707324519</v>
      </c>
      <c r="C306" s="1">
        <f>MAX(alpha*C305+(1+alpha)/2*(B306-B305),0)</f>
        <v>3.7075942326632777E-2</v>
      </c>
      <c r="D306" s="1">
        <f t="shared" si="16"/>
        <v>0.38198292474661244</v>
      </c>
      <c r="E306" s="1">
        <f>MAX(alpha*E307+(1+alpha)/2*(D306-D307),0)</f>
        <v>8.346019998125076E-2</v>
      </c>
      <c r="F306" s="1">
        <f t="shared" si="17"/>
        <v>0.29852272476536168</v>
      </c>
      <c r="G306" s="1">
        <f>MAX(alpha*G305+(1+alpha)/2*(F306-F305),0)</f>
        <v>0</v>
      </c>
      <c r="H306" s="1">
        <f t="shared" si="18"/>
        <v>0.29852272476536168</v>
      </c>
    </row>
    <row r="307" spans="1:8" x14ac:dyDescent="0.35">
      <c r="A307" s="3">
        <f t="shared" si="19"/>
        <v>44105</v>
      </c>
      <c r="B307" s="1">
        <v>0.50195505281761865</v>
      </c>
      <c r="C307" s="1">
        <f>MAX(alpha*C306+(1+alpha)/2*(B307-B306),0)</f>
        <v>0.11408282543109478</v>
      </c>
      <c r="D307" s="1">
        <f t="shared" si="16"/>
        <v>0.38787222738652388</v>
      </c>
      <c r="E307" s="1">
        <f>MAX(alpha*E308+(1+alpha)/2*(D307-D308),0)</f>
        <v>9.6355301375314076E-2</v>
      </c>
      <c r="F307" s="1">
        <f t="shared" si="17"/>
        <v>0.29151692601120982</v>
      </c>
      <c r="G307" s="1">
        <f>MAX(alpha*G306+(1+alpha)/2*(F307-F306),0)</f>
        <v>0</v>
      </c>
      <c r="H307" s="1">
        <f t="shared" si="18"/>
        <v>0.29151692601120982</v>
      </c>
    </row>
    <row r="308" spans="1:8" x14ac:dyDescent="0.35">
      <c r="A308" s="3">
        <f t="shared" si="19"/>
        <v>44106</v>
      </c>
      <c r="B308" s="1">
        <v>0.5133544800107056</v>
      </c>
      <c r="C308" s="1">
        <f>MAX(alpha*C307+(1+alpha)/2*(B308-B307),0)</f>
        <v>0.11649856219710887</v>
      </c>
      <c r="D308" s="1">
        <f t="shared" si="16"/>
        <v>0.39685591781359675</v>
      </c>
      <c r="E308" s="1">
        <f>MAX(alpha*E309+(1+alpha)/2*(D308-D309),0)</f>
        <v>0.1135157874717532</v>
      </c>
      <c r="F308" s="1">
        <f t="shared" si="17"/>
        <v>0.28334013034184358</v>
      </c>
      <c r="G308" s="1">
        <f>MAX(alpha*G307+(1+alpha)/2*(F308-F307),0)</f>
        <v>0</v>
      </c>
      <c r="H308" s="1">
        <f t="shared" si="18"/>
        <v>0.28334013034184358</v>
      </c>
    </row>
    <row r="309" spans="1:8" x14ac:dyDescent="0.35">
      <c r="A309" s="3">
        <f t="shared" si="19"/>
        <v>44107</v>
      </c>
      <c r="B309" s="1">
        <v>0.52351120321377964</v>
      </c>
      <c r="C309" s="1">
        <f>MAX(alpha*C308+(1+alpha)/2*(B309-B308),0)</f>
        <v>0.11753701611528447</v>
      </c>
      <c r="D309" s="1">
        <f t="shared" si="16"/>
        <v>0.4059741870984952</v>
      </c>
      <c r="E309" s="1">
        <f>MAX(alpha*E310+(1+alpha)/2*(D309-D310),0)</f>
        <v>0.13220769909023564</v>
      </c>
      <c r="F309" s="1">
        <f t="shared" si="17"/>
        <v>0.27376648800825953</v>
      </c>
      <c r="G309" s="1">
        <f>MAX(alpha*G308+(1+alpha)/2*(F309-F308),0)</f>
        <v>0</v>
      </c>
      <c r="H309" s="1">
        <f t="shared" si="18"/>
        <v>0.27376648800825953</v>
      </c>
    </row>
    <row r="310" spans="1:8" x14ac:dyDescent="0.35">
      <c r="A310" s="3">
        <f t="shared" si="19"/>
        <v>44108</v>
      </c>
      <c r="B310" s="1">
        <v>0.57216916438795229</v>
      </c>
      <c r="C310" s="1">
        <f>MAX(alpha*C309+(1+alpha)/2*(B310-B309),0)</f>
        <v>0.1555550275367793</v>
      </c>
      <c r="D310" s="1">
        <f t="shared" si="16"/>
        <v>0.41661413685117299</v>
      </c>
      <c r="E310" s="1">
        <f>MAX(alpha*E311+(1+alpha)/2*(D310-D311),0)</f>
        <v>0.15399854132668975</v>
      </c>
      <c r="F310" s="1">
        <f t="shared" si="17"/>
        <v>0.26261559552448321</v>
      </c>
      <c r="G310" s="1">
        <f>MAX(alpha*G309+(1+alpha)/2*(F310-F309),0)</f>
        <v>0</v>
      </c>
      <c r="H310" s="1">
        <f t="shared" si="18"/>
        <v>0.26261559552448321</v>
      </c>
    </row>
    <row r="311" spans="1:8" x14ac:dyDescent="0.35">
      <c r="A311" s="3">
        <f t="shared" si="19"/>
        <v>44109</v>
      </c>
      <c r="B311" s="1">
        <v>0.40631697721469795</v>
      </c>
      <c r="C311" s="1">
        <f>MAX(alpha*C310+(1+alpha)/2*(B311-B310),0)</f>
        <v>0</v>
      </c>
      <c r="D311" s="1">
        <f t="shared" si="16"/>
        <v>0.40631697721469795</v>
      </c>
      <c r="E311" s="1">
        <f>MAX(alpha*E312+(1+alpha)/2*(D311-D312),0)</f>
        <v>0.15577029748819732</v>
      </c>
      <c r="F311" s="1">
        <f t="shared" si="17"/>
        <v>0.25054667972650063</v>
      </c>
      <c r="G311" s="1">
        <f>MAX(alpha*G310+(1+alpha)/2*(F311-F310),0)</f>
        <v>0</v>
      </c>
      <c r="H311" s="1">
        <f t="shared" si="18"/>
        <v>0.25054667972650063</v>
      </c>
    </row>
    <row r="312" spans="1:8" x14ac:dyDescent="0.35">
      <c r="A312" s="3">
        <f t="shared" si="19"/>
        <v>44110</v>
      </c>
      <c r="B312" s="1">
        <v>0.36799375646975702</v>
      </c>
      <c r="C312" s="1">
        <f>MAX(alpha*C311+(1+alpha)/2*(B312-B311),0)</f>
        <v>0</v>
      </c>
      <c r="D312" s="1">
        <f t="shared" si="16"/>
        <v>0.36799375646975702</v>
      </c>
      <c r="E312" s="1">
        <f>MAX(alpha*E313+(1+alpha)/2*(D312-D313),0)</f>
        <v>0.12852345677966664</v>
      </c>
      <c r="F312" s="1">
        <f t="shared" si="17"/>
        <v>0.23947029969009037</v>
      </c>
      <c r="G312" s="1">
        <f>MAX(alpha*G311+(1+alpha)/2*(F312-F311),0)</f>
        <v>0</v>
      </c>
      <c r="H312" s="1">
        <f t="shared" si="18"/>
        <v>0.23947029969009037</v>
      </c>
    </row>
    <row r="313" spans="1:8" x14ac:dyDescent="0.35">
      <c r="A313" s="3">
        <f t="shared" si="19"/>
        <v>44111</v>
      </c>
      <c r="B313" s="1">
        <v>0.29525566108689194</v>
      </c>
      <c r="C313" s="1">
        <f>MAX(alpha*C312+(1+alpha)/2*(B313-B312),0)</f>
        <v>0</v>
      </c>
      <c r="D313" s="1">
        <f t="shared" si="16"/>
        <v>0.29525566108689194</v>
      </c>
      <c r="E313" s="1">
        <f>MAX(alpha*E314+(1+alpha)/2*(D313-D314),0)</f>
        <v>6.3257340512063776E-2</v>
      </c>
      <c r="F313" s="1">
        <f t="shared" si="17"/>
        <v>0.23199832057482817</v>
      </c>
      <c r="G313" s="1">
        <f>MAX(alpha*G312+(1+alpha)/2*(F313-F312),0)</f>
        <v>0</v>
      </c>
      <c r="H313" s="1">
        <f t="shared" si="18"/>
        <v>0.23199832057482817</v>
      </c>
    </row>
    <row r="314" spans="1:8" x14ac:dyDescent="0.35">
      <c r="A314" s="3">
        <f t="shared" si="19"/>
        <v>44112</v>
      </c>
      <c r="B314" s="1">
        <v>0.23703072738863598</v>
      </c>
      <c r="C314" s="1">
        <f>MAX(alpha*C313+(1+alpha)/2*(B314-B313),0)</f>
        <v>0</v>
      </c>
      <c r="D314" s="1">
        <f t="shared" si="16"/>
        <v>0.23703072738863598</v>
      </c>
      <c r="E314" s="1">
        <f>MAX(alpha*E315+(1+alpha)/2*(D314-D315),0)</f>
        <v>7.8009100837755901E-3</v>
      </c>
      <c r="F314" s="1">
        <f t="shared" si="17"/>
        <v>0.22922981730486039</v>
      </c>
      <c r="G314" s="1">
        <f>MAX(alpha*G313+(1+alpha)/2*(F314-F313),0)</f>
        <v>0</v>
      </c>
      <c r="H314" s="1">
        <f t="shared" si="18"/>
        <v>0.22922981730486039</v>
      </c>
    </row>
    <row r="315" spans="1:8" x14ac:dyDescent="0.35">
      <c r="A315" s="3">
        <f t="shared" si="19"/>
        <v>44113</v>
      </c>
      <c r="B315" s="1">
        <v>0.24422187812367782</v>
      </c>
      <c r="C315" s="1">
        <f>MAX(alpha*C314+(1+alpha)/2*(B315-B314),0)</f>
        <v>6.9214825824777714E-3</v>
      </c>
      <c r="D315" s="1">
        <f t="shared" si="16"/>
        <v>0.23730039554120005</v>
      </c>
      <c r="E315" s="1">
        <f>MAX(alpha*E316+(1+alpha)/2*(D315-D316),0)</f>
        <v>8.7140169520200112E-3</v>
      </c>
      <c r="F315" s="1">
        <f t="shared" si="17"/>
        <v>0.22858637858918004</v>
      </c>
      <c r="G315" s="1">
        <f>MAX(alpha*G314+(1+alpha)/2*(F315-F314),0)</f>
        <v>0</v>
      </c>
      <c r="H315" s="1">
        <f t="shared" si="18"/>
        <v>0.22858637858918004</v>
      </c>
    </row>
    <row r="316" spans="1:8" x14ac:dyDescent="0.35">
      <c r="A316" s="3">
        <f t="shared" si="19"/>
        <v>44114</v>
      </c>
      <c r="B316" s="1">
        <v>0.23607057171261811</v>
      </c>
      <c r="C316" s="1">
        <f>MAX(alpha*C315+(1+alpha)/2*(B316-B315),0)</f>
        <v>0</v>
      </c>
      <c r="D316" s="1">
        <f t="shared" si="16"/>
        <v>0.23607057171261811</v>
      </c>
      <c r="E316" s="1">
        <f>MAX(alpha*E317+(1+alpha)/2*(D316-D317),0)</f>
        <v>8.1408773156863672E-3</v>
      </c>
      <c r="F316" s="1">
        <f t="shared" si="17"/>
        <v>0.22792969439693175</v>
      </c>
      <c r="G316" s="1">
        <f>MAX(alpha*G315+(1+alpha)/2*(F316-F315),0)</f>
        <v>0</v>
      </c>
      <c r="H316" s="1">
        <f t="shared" si="18"/>
        <v>0.22792969439693175</v>
      </c>
    </row>
    <row r="317" spans="1:8" x14ac:dyDescent="0.35">
      <c r="A317" s="3">
        <f t="shared" si="19"/>
        <v>44115</v>
      </c>
      <c r="B317" s="1">
        <v>0.23286488400760766</v>
      </c>
      <c r="C317" s="1">
        <f>MAX(alpha*C316+(1+alpha)/2*(B317-B316),0)</f>
        <v>0</v>
      </c>
      <c r="D317" s="1">
        <f t="shared" si="16"/>
        <v>0.23286488400760766</v>
      </c>
      <c r="E317" s="1">
        <f>MAX(alpha*E318+(1+alpha)/2*(D317-D318),0)</f>
        <v>5.4653004320149266E-3</v>
      </c>
      <c r="F317" s="1">
        <f t="shared" si="17"/>
        <v>0.22739958357559273</v>
      </c>
      <c r="G317" s="1">
        <f>MAX(alpha*G316+(1+alpha)/2*(F317-F316),0)</f>
        <v>0</v>
      </c>
      <c r="H317" s="1">
        <f t="shared" si="18"/>
        <v>0.22739958357559273</v>
      </c>
    </row>
    <row r="318" spans="1:8" x14ac:dyDescent="0.35">
      <c r="A318" s="3">
        <f t="shared" si="19"/>
        <v>44116</v>
      </c>
      <c r="B318" s="1">
        <v>0.36493024175159411</v>
      </c>
      <c r="C318" s="1">
        <f>MAX(alpha*C317+(1+alpha)/2*(B318-B317),0)</f>
        <v>0.12711290682858697</v>
      </c>
      <c r="D318" s="1">
        <f t="shared" si="16"/>
        <v>0.23781733492300713</v>
      </c>
      <c r="E318" s="1">
        <f>MAX(alpha*E319+(1+alpha)/2*(D318-D319),0)</f>
        <v>1.1061658851985861E-2</v>
      </c>
      <c r="F318" s="1">
        <f t="shared" si="17"/>
        <v>0.22675567607102126</v>
      </c>
      <c r="G318" s="1">
        <f>MAX(alpha*G317+(1+alpha)/2*(F318-F317),0)</f>
        <v>0</v>
      </c>
      <c r="H318" s="1">
        <f t="shared" si="18"/>
        <v>0.22675567607102126</v>
      </c>
    </row>
    <row r="319" spans="1:8" x14ac:dyDescent="0.35">
      <c r="A319" s="3">
        <f t="shared" si="19"/>
        <v>44117</v>
      </c>
      <c r="B319" s="1">
        <v>0.27026438798393854</v>
      </c>
      <c r="C319" s="1">
        <f>MAX(alpha*C318+(1+alpha)/2*(B319-B318),0)</f>
        <v>2.6463554565074474E-2</v>
      </c>
      <c r="D319" s="1">
        <f t="shared" si="16"/>
        <v>0.24380083341886405</v>
      </c>
      <c r="E319" s="1">
        <f>MAX(alpha*E320+(1+alpha)/2*(D319-D320),0)</f>
        <v>1.8184622869457448E-2</v>
      </c>
      <c r="F319" s="1">
        <f t="shared" si="17"/>
        <v>0.22561621054940662</v>
      </c>
      <c r="G319" s="1">
        <f>MAX(alpha*G318+(1+alpha)/2*(F319-F318),0)</f>
        <v>0</v>
      </c>
      <c r="H319" s="1">
        <f t="shared" si="18"/>
        <v>0.22561621054940662</v>
      </c>
    </row>
    <row r="320" spans="1:8" x14ac:dyDescent="0.35">
      <c r="A320" s="3">
        <f t="shared" si="19"/>
        <v>44118</v>
      </c>
      <c r="B320" s="1">
        <v>0.2462260632114964</v>
      </c>
      <c r="C320" s="1">
        <f>MAX(alpha*C319+(1+alpha)/2*(B320-B319),0)</f>
        <v>1.3419003792183304E-3</v>
      </c>
      <c r="D320" s="1">
        <f t="shared" si="16"/>
        <v>0.24488416283227807</v>
      </c>
      <c r="E320" s="1">
        <f>MAX(alpha*E321+(1+alpha)/2*(D320-D321),0)</f>
        <v>2.0786299924182097E-2</v>
      </c>
      <c r="F320" s="1">
        <f t="shared" si="17"/>
        <v>0.22409786290809597</v>
      </c>
      <c r="G320" s="1">
        <f>MAX(alpha*G319+(1+alpha)/2*(F320-F319),0)</f>
        <v>0</v>
      </c>
      <c r="H320" s="1">
        <f t="shared" si="18"/>
        <v>0.22409786290809597</v>
      </c>
    </row>
    <row r="321" spans="1:8" x14ac:dyDescent="0.35">
      <c r="A321" s="3">
        <f t="shared" si="19"/>
        <v>44119</v>
      </c>
      <c r="B321" s="1">
        <v>0.2372886968080368</v>
      </c>
      <c r="C321" s="1">
        <f>MAX(alpha*C320+(1+alpha)/2*(B321-B320),0)</f>
        <v>0</v>
      </c>
      <c r="D321" s="1">
        <f t="shared" si="16"/>
        <v>0.2372886968080368</v>
      </c>
      <c r="E321" s="1">
        <f>MAX(alpha*E322+(1+alpha)/2*(D321-D322),0)</f>
        <v>1.4568285271189051E-2</v>
      </c>
      <c r="F321" s="1">
        <f t="shared" si="17"/>
        <v>0.22272041153684774</v>
      </c>
      <c r="G321" s="1">
        <f>MAX(alpha*G320+(1+alpha)/2*(F321-F320),0)</f>
        <v>0</v>
      </c>
      <c r="H321" s="1">
        <f t="shared" si="18"/>
        <v>0.22272041153684774</v>
      </c>
    </row>
    <row r="322" spans="1:8" x14ac:dyDescent="0.35">
      <c r="A322" s="3">
        <f t="shared" si="19"/>
        <v>44120</v>
      </c>
      <c r="B322" s="1">
        <v>0.22871083625605318</v>
      </c>
      <c r="C322" s="1">
        <f>MAX(alpha*C321+(1+alpha)/2*(B322-B321),0)</f>
        <v>0</v>
      </c>
      <c r="D322" s="1">
        <f t="shared" si="16"/>
        <v>0.22871083625605318</v>
      </c>
      <c r="E322" s="1">
        <f>MAX(alpha*E323+(1+alpha)/2*(D322-D323),0)</f>
        <v>6.8238859350322357E-3</v>
      </c>
      <c r="F322" s="1">
        <f t="shared" si="17"/>
        <v>0.22188695032102093</v>
      </c>
      <c r="G322" s="1">
        <f>MAX(alpha*G321+(1+alpha)/2*(F322-F321),0)</f>
        <v>0</v>
      </c>
      <c r="H322" s="1">
        <f t="shared" si="18"/>
        <v>0.22188695032102093</v>
      </c>
    </row>
    <row r="323" spans="1:8" x14ac:dyDescent="0.35">
      <c r="A323" s="3">
        <f t="shared" si="19"/>
        <v>44121</v>
      </c>
      <c r="B323" s="1">
        <v>0.22162108463524047</v>
      </c>
      <c r="C323" s="1">
        <f>MAX(alpha*C322+(1+alpha)/2*(B323-B322),0)</f>
        <v>0</v>
      </c>
      <c r="D323" s="1">
        <f t="shared" si="16"/>
        <v>0.22162108463524047</v>
      </c>
      <c r="E323" s="1">
        <f>MAX(alpha*E324+(1+alpha)/2*(D323-D324),0)</f>
        <v>0</v>
      </c>
      <c r="F323" s="1">
        <f t="shared" si="17"/>
        <v>0.22162108463524047</v>
      </c>
      <c r="G323" s="1">
        <f>MAX(alpha*G322+(1+alpha)/2*(F323-F322),0)</f>
        <v>0</v>
      </c>
      <c r="H323" s="1">
        <f t="shared" si="18"/>
        <v>0.22162108463524047</v>
      </c>
    </row>
    <row r="324" spans="1:8" x14ac:dyDescent="0.35">
      <c r="A324" s="3">
        <f t="shared" si="19"/>
        <v>44122</v>
      </c>
      <c r="B324" s="1">
        <v>0.3289873127095661</v>
      </c>
      <c r="C324" s="1">
        <f>MAX(alpha*C323+(1+alpha)/2*(B324-B323),0)</f>
        <v>0.10333999452153843</v>
      </c>
      <c r="D324" s="1">
        <f t="shared" ref="D324:D387" si="20">B324-C324</f>
        <v>0.22564731818802769</v>
      </c>
      <c r="E324" s="1">
        <f>MAX(alpha*E325+(1+alpha)/2*(D324-D325),0)</f>
        <v>1.3295559300908711E-3</v>
      </c>
      <c r="F324" s="1">
        <f t="shared" ref="F324:F387" si="21">D324-E324</f>
        <v>0.22431776225793681</v>
      </c>
      <c r="G324" s="1">
        <f>MAX(alpha*G323+(1+alpha)/2*(F324-F323),0)</f>
        <v>2.5955522118452346E-3</v>
      </c>
      <c r="H324" s="1">
        <f t="shared" ref="H324:H387" si="22">F324-G324</f>
        <v>0.22172221004609158</v>
      </c>
    </row>
    <row r="325" spans="1:8" x14ac:dyDescent="0.35">
      <c r="A325" s="3">
        <f t="shared" si="19"/>
        <v>44123</v>
      </c>
      <c r="B325" s="1">
        <v>0.25721216787316942</v>
      </c>
      <c r="C325" s="1">
        <f>MAX(alpha*C324+(1+alpha)/2*(B325-B324),0)</f>
        <v>2.6505918027391245E-2</v>
      </c>
      <c r="D325" s="1">
        <f t="shared" si="20"/>
        <v>0.23070624984577817</v>
      </c>
      <c r="E325" s="1">
        <f>MAX(alpha*E326+(1+alpha)/2*(D325-D326),0)</f>
        <v>6.7013812439737407E-3</v>
      </c>
      <c r="F325" s="1">
        <f t="shared" si="21"/>
        <v>0.22400486860180444</v>
      </c>
      <c r="G325" s="1">
        <f>MAX(alpha*G324+(1+alpha)/2*(F325-F324),0)</f>
        <v>2.0997256519294273E-3</v>
      </c>
      <c r="H325" s="1">
        <f t="shared" si="22"/>
        <v>0.22190514294987501</v>
      </c>
    </row>
    <row r="326" spans="1:8" x14ac:dyDescent="0.35">
      <c r="A326" s="3">
        <f t="shared" si="19"/>
        <v>44124</v>
      </c>
      <c r="B326" s="1">
        <v>0.22374377582606519</v>
      </c>
      <c r="C326" s="1">
        <f>MAX(alpha*C325+(1+alpha)/2*(B326-B325),0)</f>
        <v>0</v>
      </c>
      <c r="D326" s="1">
        <f t="shared" si="20"/>
        <v>0.22374377582606519</v>
      </c>
      <c r="E326" s="1">
        <f>MAX(alpha*E327+(1+alpha)/2*(D326-D327),0)</f>
        <v>0</v>
      </c>
      <c r="F326" s="1">
        <f t="shared" si="21"/>
        <v>0.22374377582606519</v>
      </c>
      <c r="G326" s="1">
        <f>MAX(alpha*G325+(1+alpha)/2*(F326-F325),0)</f>
        <v>1.6909444313857008E-3</v>
      </c>
      <c r="H326" s="1">
        <f t="shared" si="22"/>
        <v>0.22205283139467949</v>
      </c>
    </row>
    <row r="327" spans="1:8" x14ac:dyDescent="0.35">
      <c r="A327" s="3">
        <f t="shared" si="19"/>
        <v>44125</v>
      </c>
      <c r="B327" s="1">
        <v>0.27407134929023297</v>
      </c>
      <c r="C327" s="1">
        <f>MAX(alpha*C326+(1+alpha)/2*(B327-B326),0)</f>
        <v>4.844028945926148E-2</v>
      </c>
      <c r="D327" s="1">
        <f t="shared" si="20"/>
        <v>0.22563105983097148</v>
      </c>
      <c r="E327" s="1">
        <f>MAX(alpha*E328+(1+alpha)/2*(D327-D328),0)</f>
        <v>0</v>
      </c>
      <c r="F327" s="1">
        <f t="shared" si="21"/>
        <v>0.22563105983097148</v>
      </c>
      <c r="G327" s="1">
        <f>MAX(alpha*G326+(1+alpha)/2*(F327-F326),0)</f>
        <v>3.3806344537540742E-3</v>
      </c>
      <c r="H327" s="1">
        <f t="shared" si="22"/>
        <v>0.2222504253772174</v>
      </c>
    </row>
    <row r="328" spans="1:8" x14ac:dyDescent="0.35">
      <c r="A328" s="3">
        <f t="shared" si="19"/>
        <v>44126</v>
      </c>
      <c r="B328" s="1">
        <v>1.1475482027824273</v>
      </c>
      <c r="C328" s="1">
        <f>MAX(alpha*C327+(1+alpha)/2*(B328-B327),0)</f>
        <v>0.88552873923605402</v>
      </c>
      <c r="D328" s="1">
        <f t="shared" si="20"/>
        <v>0.26201946354637329</v>
      </c>
      <c r="E328" s="1">
        <f>MAX(alpha*E329+(1+alpha)/2*(D328-D329),0)</f>
        <v>0</v>
      </c>
      <c r="F328" s="1">
        <f t="shared" si="21"/>
        <v>0.26201946354637329</v>
      </c>
      <c r="G328" s="1">
        <f>MAX(alpha*G327+(1+alpha)/2*(F328-F327),0)</f>
        <v>3.8150925445796756E-2</v>
      </c>
      <c r="H328" s="1">
        <f t="shared" si="22"/>
        <v>0.22386853810057653</v>
      </c>
    </row>
    <row r="329" spans="1:8" x14ac:dyDescent="0.35">
      <c r="A329" s="3">
        <f t="shared" si="19"/>
        <v>44127</v>
      </c>
      <c r="B329" s="1">
        <v>1.0980834525706926</v>
      </c>
      <c r="C329" s="1">
        <f>MAX(alpha*C328+(1+alpha)/2*(B329-B328),0)</f>
        <v>0.77150426171455544</v>
      </c>
      <c r="D329" s="1">
        <f t="shared" si="20"/>
        <v>0.32657919085613718</v>
      </c>
      <c r="E329" s="1">
        <f>MAX(alpha*E330+(1+alpha)/2*(D329-D330),0)</f>
        <v>2.0589333072474639E-2</v>
      </c>
      <c r="F329" s="1">
        <f t="shared" si="21"/>
        <v>0.30598985778366256</v>
      </c>
      <c r="G329" s="1">
        <f>MAX(alpha*G328+(1+alpha)/2*(F329-F328),0)</f>
        <v>7.7611110490752921E-2</v>
      </c>
      <c r="H329" s="1">
        <f t="shared" si="22"/>
        <v>0.22837874729290963</v>
      </c>
    </row>
    <row r="330" spans="1:8" x14ac:dyDescent="0.35">
      <c r="A330" s="3">
        <f t="shared" si="19"/>
        <v>44128</v>
      </c>
      <c r="B330" s="1">
        <v>0.65500366255889508</v>
      </c>
      <c r="C330" s="1">
        <f>MAX(alpha*C329+(1+alpha)/2*(B330-B329),0)</f>
        <v>0.28717714419960866</v>
      </c>
      <c r="D330" s="1">
        <f t="shared" si="20"/>
        <v>0.36782651835928643</v>
      </c>
      <c r="E330" s="1">
        <f>MAX(alpha*E331+(1+alpha)/2*(D330-D331),0)</f>
        <v>6.5178254912708955E-2</v>
      </c>
      <c r="F330" s="1">
        <f t="shared" si="21"/>
        <v>0.30264826344657747</v>
      </c>
      <c r="G330" s="1">
        <f>MAX(alpha*G329+(1+alpha)/2*(F330-F329),0)</f>
        <v>6.8573992654502064E-2</v>
      </c>
      <c r="H330" s="1">
        <f t="shared" si="22"/>
        <v>0.23407427079207541</v>
      </c>
    </row>
    <row r="331" spans="1:8" x14ac:dyDescent="0.35">
      <c r="A331" s="3">
        <f t="shared" si="19"/>
        <v>44129</v>
      </c>
      <c r="B331" s="1">
        <v>0.45263634384371337</v>
      </c>
      <c r="C331" s="1">
        <f>MAX(alpha*C330+(1+alpha)/2*(B331-B330),0)</f>
        <v>7.0860314121275608E-2</v>
      </c>
      <c r="D331" s="1">
        <f t="shared" si="20"/>
        <v>0.38177602972243774</v>
      </c>
      <c r="E331" s="1">
        <f>MAX(alpha*E332+(1+alpha)/2*(D331-D332),0)</f>
        <v>8.4978010378099558E-2</v>
      </c>
      <c r="F331" s="1">
        <f t="shared" si="21"/>
        <v>0.29679801934433819</v>
      </c>
      <c r="G331" s="1">
        <f>MAX(alpha*G330+(1+alpha)/2*(F331-F330),0)</f>
        <v>5.7800083257009111E-2</v>
      </c>
      <c r="H331" s="1">
        <f t="shared" si="22"/>
        <v>0.23899793608732908</v>
      </c>
    </row>
    <row r="332" spans="1:8" x14ac:dyDescent="0.35">
      <c r="A332" s="3">
        <f t="shared" si="19"/>
        <v>44130</v>
      </c>
      <c r="B332" s="1">
        <v>0.40667036581002991</v>
      </c>
      <c r="C332" s="1">
        <f>MAX(alpha*C331+(1+alpha)/2*(B332-B331),0)</f>
        <v>2.1303536704759603E-2</v>
      </c>
      <c r="D332" s="1">
        <f t="shared" si="20"/>
        <v>0.38536682910527031</v>
      </c>
      <c r="E332" s="1">
        <f>MAX(alpha*E333+(1+alpha)/2*(D332-D333),0)</f>
        <v>9.5604491658460439E-2</v>
      </c>
      <c r="F332" s="1">
        <f t="shared" si="21"/>
        <v>0.2897623374468099</v>
      </c>
      <c r="G332" s="1">
        <f>MAX(alpha*G331+(1+alpha)/2*(F332-F331),0)</f>
        <v>4.6693233186362454E-2</v>
      </c>
      <c r="H332" s="1">
        <f t="shared" si="22"/>
        <v>0.24306910426044745</v>
      </c>
    </row>
    <row r="333" spans="1:8" x14ac:dyDescent="0.35">
      <c r="A333" s="3">
        <f t="shared" si="19"/>
        <v>44131</v>
      </c>
      <c r="B333" s="1">
        <v>0.3885607170470331</v>
      </c>
      <c r="C333" s="1">
        <f>MAX(alpha*C332+(1+alpha)/2*(B333-B332),0)</f>
        <v>2.2752345175182029E-3</v>
      </c>
      <c r="D333" s="1">
        <f t="shared" si="20"/>
        <v>0.38628548252951489</v>
      </c>
      <c r="E333" s="1">
        <f>MAX(alpha*E334+(1+alpha)/2*(D333-D334),0)</f>
        <v>0.10431210332896848</v>
      </c>
      <c r="F333" s="1">
        <f t="shared" si="21"/>
        <v>0.28197337920054644</v>
      </c>
      <c r="G333" s="1">
        <f>MAX(alpha*G332+(1+alpha)/2*(F333-F332),0)</f>
        <v>3.5694368385356688E-2</v>
      </c>
      <c r="H333" s="1">
        <f t="shared" si="22"/>
        <v>0.24627901081518974</v>
      </c>
    </row>
    <row r="334" spans="1:8" x14ac:dyDescent="0.35">
      <c r="A334" s="3">
        <f t="shared" si="19"/>
        <v>44132</v>
      </c>
      <c r="B334" s="1">
        <v>0.34515003045654086</v>
      </c>
      <c r="C334" s="1">
        <f>MAX(alpha*C333+(1+alpha)/2*(B334-B333),0)</f>
        <v>0</v>
      </c>
      <c r="D334" s="1">
        <f t="shared" si="20"/>
        <v>0.34515003045654086</v>
      </c>
      <c r="E334" s="1">
        <f>MAX(alpha*E335+(1+alpha)/2*(D334-D335),0)</f>
        <v>6.996673590133079E-2</v>
      </c>
      <c r="F334" s="1">
        <f t="shared" si="21"/>
        <v>0.27518329455521007</v>
      </c>
      <c r="G334" s="1">
        <f>MAX(alpha*G333+(1+alpha)/2*(F334-F333),0)</f>
        <v>2.6481834285318681E-2</v>
      </c>
      <c r="H334" s="1">
        <f t="shared" si="22"/>
        <v>0.24870146026989137</v>
      </c>
    </row>
    <row r="335" spans="1:8" x14ac:dyDescent="0.35">
      <c r="A335" s="3">
        <f t="shared" si="19"/>
        <v>44133</v>
      </c>
      <c r="B335" s="1">
        <v>0.33345007809440869</v>
      </c>
      <c r="C335" s="1">
        <f>MAX(alpha*C334+(1+alpha)/2*(B335-B334),0)</f>
        <v>0</v>
      </c>
      <c r="D335" s="1">
        <f t="shared" si="20"/>
        <v>0.33345007809440869</v>
      </c>
      <c r="E335" s="1">
        <f>MAX(alpha*E336+(1+alpha)/2*(D335-D336),0)</f>
        <v>6.3465439732733595E-2</v>
      </c>
      <c r="F335" s="1">
        <f t="shared" si="21"/>
        <v>0.26998463836167508</v>
      </c>
      <c r="G335" s="1">
        <f>MAX(alpha*G334+(1+alpha)/2*(F335-F334),0)</f>
        <v>1.9491990127642356E-2</v>
      </c>
      <c r="H335" s="1">
        <f t="shared" si="22"/>
        <v>0.25049264823403272</v>
      </c>
    </row>
    <row r="336" spans="1:8" x14ac:dyDescent="0.35">
      <c r="A336" s="3">
        <f t="shared" si="19"/>
        <v>44134</v>
      </c>
      <c r="B336" s="1">
        <v>0.32397075206082859</v>
      </c>
      <c r="C336" s="1">
        <f>MAX(alpha*C335+(1+alpha)/2*(B336-B335),0)</f>
        <v>0</v>
      </c>
      <c r="D336" s="1">
        <f t="shared" si="20"/>
        <v>0.32397075206082859</v>
      </c>
      <c r="E336" s="1">
        <f>MAX(alpha*E337+(1+alpha)/2*(D336-D337),0)</f>
        <v>5.8747663162608377E-2</v>
      </c>
      <c r="F336" s="1">
        <f t="shared" si="21"/>
        <v>0.26522308889822022</v>
      </c>
      <c r="G336" s="1">
        <f>MAX(alpha*G335+(1+alpha)/2*(F336-F335),0)</f>
        <v>1.3447099509493876E-2</v>
      </c>
      <c r="H336" s="1">
        <f t="shared" si="22"/>
        <v>0.25177598938872636</v>
      </c>
    </row>
    <row r="337" spans="1:8" x14ac:dyDescent="0.35">
      <c r="A337" s="3">
        <f t="shared" si="19"/>
        <v>44135</v>
      </c>
      <c r="B337" s="1">
        <v>0.31776041495243507</v>
      </c>
      <c r="C337" s="1">
        <f>MAX(alpha*C336+(1+alpha)/2*(B337-B336),0)</f>
        <v>0</v>
      </c>
      <c r="D337" s="1">
        <f t="shared" si="20"/>
        <v>0.31776041495243507</v>
      </c>
      <c r="E337" s="1">
        <f>MAX(alpha*E338+(1+alpha)/2*(D337-D338),0)</f>
        <v>5.7048879671113092E-2</v>
      </c>
      <c r="F337" s="1">
        <f t="shared" si="21"/>
        <v>0.26071153528132196</v>
      </c>
      <c r="G337" s="1">
        <f>MAX(alpha*G336+(1+alpha)/2*(F337-F336),0)</f>
        <v>8.0961966900172655E-3</v>
      </c>
      <c r="H337" s="1">
        <f t="shared" si="22"/>
        <v>0.25261533859130469</v>
      </c>
    </row>
    <row r="338" spans="1:8" x14ac:dyDescent="0.35">
      <c r="A338" s="3">
        <f t="shared" si="19"/>
        <v>44136</v>
      </c>
      <c r="B338" s="1">
        <v>0.29685431004512841</v>
      </c>
      <c r="C338" s="1">
        <f>MAX(alpha*C337+(1+alpha)/2*(B338-B337),0)</f>
        <v>0</v>
      </c>
      <c r="D338" s="1">
        <f t="shared" si="20"/>
        <v>0.29685431004512841</v>
      </c>
      <c r="E338" s="1">
        <f>MAX(alpha*E339+(1+alpha)/2*(D338-D339),0)</f>
        <v>3.9920814808465328E-2</v>
      </c>
      <c r="F338" s="1">
        <f t="shared" si="21"/>
        <v>0.25693349523666309</v>
      </c>
      <c r="G338" s="1">
        <f>MAX(alpha*G337+(1+alpha)/2*(F338-F337),0)</f>
        <v>3.8526183952818081E-3</v>
      </c>
      <c r="H338" s="1">
        <f t="shared" si="22"/>
        <v>0.25308087684138131</v>
      </c>
    </row>
    <row r="339" spans="1:8" x14ac:dyDescent="0.35">
      <c r="A339" s="3">
        <f t="shared" si="19"/>
        <v>44137</v>
      </c>
      <c r="B339" s="1">
        <v>0.31050454104141573</v>
      </c>
      <c r="C339" s="1">
        <f>MAX(alpha*C338+(1+alpha)/2*(B339-B338),0)</f>
        <v>1.3138347333926543E-2</v>
      </c>
      <c r="D339" s="1">
        <f t="shared" si="20"/>
        <v>0.29736619370748918</v>
      </c>
      <c r="E339" s="1">
        <f>MAX(alpha*E340+(1+alpha)/2*(D339-D340),0)</f>
        <v>4.369027333350007E-2</v>
      </c>
      <c r="F339" s="1">
        <f t="shared" si="21"/>
        <v>0.25367592037398912</v>
      </c>
      <c r="G339" s="1">
        <f>MAX(alpha*G338+(1+alpha)/2*(F339-F338),0)</f>
        <v>4.2825621031197369E-4</v>
      </c>
      <c r="H339" s="1">
        <f t="shared" si="22"/>
        <v>0.25324766416367717</v>
      </c>
    </row>
    <row r="340" spans="1:8" x14ac:dyDescent="0.35">
      <c r="A340" s="3">
        <f t="shared" si="19"/>
        <v>44138</v>
      </c>
      <c r="B340" s="1">
        <v>0.29753032471424068</v>
      </c>
      <c r="C340" s="1">
        <f>MAX(alpha*C339+(1+alpha)/2*(B340-B339),0)</f>
        <v>0</v>
      </c>
      <c r="D340" s="1">
        <f t="shared" si="20"/>
        <v>0.29753032471424068</v>
      </c>
      <c r="E340" s="1">
        <f>MAX(alpha*E341+(1+alpha)/2*(D340-D341),0)</f>
        <v>4.7403512894592853E-2</v>
      </c>
      <c r="F340" s="1">
        <f t="shared" si="21"/>
        <v>0.2501268118196478</v>
      </c>
      <c r="G340" s="1">
        <f>MAX(alpha*G339+(1+alpha)/2*(F340-F339),0)</f>
        <v>0</v>
      </c>
      <c r="H340" s="1">
        <f t="shared" si="22"/>
        <v>0.2501268118196478</v>
      </c>
    </row>
    <row r="341" spans="1:8" x14ac:dyDescent="0.35">
      <c r="A341" s="3">
        <f t="shared" si="19"/>
        <v>44139</v>
      </c>
      <c r="B341" s="1">
        <v>0.29834160976542823</v>
      </c>
      <c r="C341" s="1">
        <f>MAX(alpha*C340+(1+alpha)/2*(B341-B340),0)</f>
        <v>7.808618617680161E-4</v>
      </c>
      <c r="D341" s="1">
        <f t="shared" si="20"/>
        <v>0.29756074790366022</v>
      </c>
      <c r="E341" s="1">
        <f>MAX(alpha*E342+(1+alpha)/2*(D341-D342),0)</f>
        <v>5.1278697529090977E-2</v>
      </c>
      <c r="F341" s="1">
        <f t="shared" si="21"/>
        <v>0.24628205037456924</v>
      </c>
      <c r="G341" s="1">
        <f>MAX(alpha*G340+(1+alpha)/2*(F341-F340),0)</f>
        <v>0</v>
      </c>
      <c r="H341" s="1">
        <f t="shared" si="22"/>
        <v>0.24628205037456924</v>
      </c>
    </row>
    <row r="342" spans="1:8" x14ac:dyDescent="0.35">
      <c r="A342" s="3">
        <f t="shared" si="19"/>
        <v>44140</v>
      </c>
      <c r="B342" s="1">
        <v>0.26777806874876159</v>
      </c>
      <c r="C342" s="1">
        <f>MAX(alpha*C341+(1+alpha)/2*(B342-B341),0)</f>
        <v>0</v>
      </c>
      <c r="D342" s="1">
        <f t="shared" si="20"/>
        <v>0.26777806874876159</v>
      </c>
      <c r="E342" s="1">
        <f>MAX(alpha*E343+(1+alpha)/2*(D342-D343),0)</f>
        <v>2.4446344694595726E-2</v>
      </c>
      <c r="F342" s="1">
        <f t="shared" si="21"/>
        <v>0.24333172405416587</v>
      </c>
      <c r="G342" s="1">
        <f>MAX(alpha*G341+(1+alpha)/2*(F342-F341),0)</f>
        <v>0</v>
      </c>
      <c r="H342" s="1">
        <f t="shared" si="22"/>
        <v>0.24333172405416587</v>
      </c>
    </row>
    <row r="343" spans="1:8" x14ac:dyDescent="0.35">
      <c r="A343" s="3">
        <f t="shared" si="19"/>
        <v>44141</v>
      </c>
      <c r="B343" s="1">
        <v>0.26827838741962612</v>
      </c>
      <c r="C343" s="1">
        <f>MAX(alpha*C342+(1+alpha)/2*(B343-B342),0)</f>
        <v>4.8155672070711032E-4</v>
      </c>
      <c r="D343" s="1">
        <f t="shared" si="20"/>
        <v>0.26779683069891902</v>
      </c>
      <c r="E343" s="1">
        <f>MAX(alpha*E344+(1+alpha)/2*(D343-D344),0)</f>
        <v>2.6448003320672705E-2</v>
      </c>
      <c r="F343" s="1">
        <f t="shared" si="21"/>
        <v>0.24134882737824631</v>
      </c>
      <c r="G343" s="1">
        <f>MAX(alpha*G342+(1+alpha)/2*(F343-F342),0)</f>
        <v>0</v>
      </c>
      <c r="H343" s="1">
        <f t="shared" si="22"/>
        <v>0.24134882737824631</v>
      </c>
    </row>
    <row r="344" spans="1:8" x14ac:dyDescent="0.35">
      <c r="A344" s="3">
        <f t="shared" si="19"/>
        <v>44142</v>
      </c>
      <c r="B344" s="1">
        <v>0.24552599957060126</v>
      </c>
      <c r="C344" s="1">
        <f>MAX(alpha*C343+(1+alpha)/2*(B344-B343),0)</f>
        <v>0</v>
      </c>
      <c r="D344" s="1">
        <f t="shared" si="20"/>
        <v>0.24552599957060126</v>
      </c>
      <c r="E344" s="1">
        <f>MAX(alpha*E345+(1+alpha)/2*(D344-D345),0)</f>
        <v>5.4187333618020053E-3</v>
      </c>
      <c r="F344" s="1">
        <f t="shared" si="21"/>
        <v>0.24010726620879924</v>
      </c>
      <c r="G344" s="1">
        <f>MAX(alpha*G343+(1+alpha)/2*(F344-F343),0)</f>
        <v>0</v>
      </c>
      <c r="H344" s="1">
        <f t="shared" si="22"/>
        <v>0.24010726620879924</v>
      </c>
    </row>
    <row r="345" spans="1:8" x14ac:dyDescent="0.35">
      <c r="A345" s="3">
        <f t="shared" si="19"/>
        <v>44143</v>
      </c>
      <c r="B345" s="1">
        <v>0.2734559832429902</v>
      </c>
      <c r="C345" s="1">
        <f>MAX(alpha*C344+(1+alpha)/2*(B345-B344),0)</f>
        <v>2.6882609284674355E-2</v>
      </c>
      <c r="D345" s="1">
        <f t="shared" si="20"/>
        <v>0.24657337395831586</v>
      </c>
      <c r="E345" s="1">
        <f>MAX(alpha*E346+(1+alpha)/2*(D345-D346),0)</f>
        <v>6.9479256324079001E-3</v>
      </c>
      <c r="F345" s="1">
        <f t="shared" si="21"/>
        <v>0.23962544832590796</v>
      </c>
      <c r="G345" s="1">
        <f>MAX(alpha*G344+(1+alpha)/2*(F345-F344),0)</f>
        <v>0</v>
      </c>
      <c r="H345" s="1">
        <f t="shared" si="22"/>
        <v>0.23962544832590796</v>
      </c>
    </row>
    <row r="346" spans="1:8" x14ac:dyDescent="0.35">
      <c r="A346" s="3">
        <f t="shared" si="19"/>
        <v>44144</v>
      </c>
      <c r="B346" s="1">
        <v>0.23935474992464531</v>
      </c>
      <c r="C346" s="1">
        <f>MAX(alpha*C345+(1+alpha)/2*(B346-B345),0)</f>
        <v>0</v>
      </c>
      <c r="D346" s="1">
        <f t="shared" si="20"/>
        <v>0.23935474992464531</v>
      </c>
      <c r="E346" s="1">
        <f>MAX(alpha*E347+(1+alpha)/2*(D346-D347),0)</f>
        <v>0</v>
      </c>
      <c r="F346" s="1">
        <f t="shared" si="21"/>
        <v>0.23935474992464531</v>
      </c>
      <c r="G346" s="1">
        <f>MAX(alpha*G345+(1+alpha)/2*(F346-F345),0)</f>
        <v>0</v>
      </c>
      <c r="H346" s="1">
        <f t="shared" si="22"/>
        <v>0.23935474992464531</v>
      </c>
    </row>
    <row r="347" spans="1:8" x14ac:dyDescent="0.35">
      <c r="A347" s="3">
        <f t="shared" si="19"/>
        <v>44145</v>
      </c>
      <c r="B347" s="1">
        <v>0.30120557325810349</v>
      </c>
      <c r="C347" s="1">
        <f>MAX(alpha*C346+(1+alpha)/2*(B347-B346),0)</f>
        <v>5.9531417458453494E-2</v>
      </c>
      <c r="D347" s="1">
        <f t="shared" si="20"/>
        <v>0.24167415579964999</v>
      </c>
      <c r="E347" s="1">
        <f>MAX(alpha*E348+(1+alpha)/2*(D347-D348),0)</f>
        <v>0</v>
      </c>
      <c r="F347" s="1">
        <f t="shared" si="21"/>
        <v>0.24167415579964999</v>
      </c>
      <c r="G347" s="1">
        <f>MAX(alpha*G346+(1+alpha)/2*(F347-F346),0)</f>
        <v>2.2324281546920012E-3</v>
      </c>
      <c r="H347" s="1">
        <f t="shared" si="22"/>
        <v>0.239441727644958</v>
      </c>
    </row>
    <row r="348" spans="1:8" x14ac:dyDescent="0.35">
      <c r="A348" s="3">
        <f t="shared" si="19"/>
        <v>44146</v>
      </c>
      <c r="B348" s="1">
        <v>0.31377388490559138</v>
      </c>
      <c r="C348" s="1">
        <f>MAX(alpha*C347+(1+alpha)/2*(B348-B347),0)</f>
        <v>6.7163561109776587E-2</v>
      </c>
      <c r="D348" s="1">
        <f t="shared" si="20"/>
        <v>0.2466103237958148</v>
      </c>
      <c r="E348" s="1">
        <f>MAX(alpha*E349+(1+alpha)/2*(D348-D349),0)</f>
        <v>6.1884401533860095E-4</v>
      </c>
      <c r="F348" s="1">
        <f t="shared" si="21"/>
        <v>0.2459914797804762</v>
      </c>
      <c r="G348" s="1">
        <f>MAX(alpha*G347+(1+alpha)/2*(F348-F347),0)</f>
        <v>6.2204203746353288E-3</v>
      </c>
      <c r="H348" s="1">
        <f t="shared" si="22"/>
        <v>0.23977105940584087</v>
      </c>
    </row>
    <row r="349" spans="1:8" x14ac:dyDescent="0.35">
      <c r="A349" s="3">
        <f t="shared" si="19"/>
        <v>44147</v>
      </c>
      <c r="B349" s="1">
        <v>0.28662749597495585</v>
      </c>
      <c r="C349" s="1">
        <f>MAX(alpha*C348+(1+alpha)/2*(B349-B348),0)</f>
        <v>3.599789468080665E-2</v>
      </c>
      <c r="D349" s="1">
        <f t="shared" si="20"/>
        <v>0.25062960129414918</v>
      </c>
      <c r="E349" s="1">
        <f>MAX(alpha*E350+(1+alpha)/2*(D349-D350),0)</f>
        <v>4.851241737822109E-3</v>
      </c>
      <c r="F349" s="1">
        <f t="shared" si="21"/>
        <v>0.24577835955632707</v>
      </c>
      <c r="G349" s="1">
        <f>MAX(alpha*G348+(1+alpha)/2*(F349-F348),0)</f>
        <v>5.548760630794145E-3</v>
      </c>
      <c r="H349" s="1">
        <f t="shared" si="22"/>
        <v>0.24022959892553292</v>
      </c>
    </row>
    <row r="350" spans="1:8" x14ac:dyDescent="0.35">
      <c r="A350" s="3">
        <f t="shared" si="19"/>
        <v>44148</v>
      </c>
      <c r="B350" s="1">
        <v>0.26729403109927635</v>
      </c>
      <c r="C350" s="1">
        <f>MAX(alpha*C349+(1+alpha)/2*(B350-B349),0)</f>
        <v>1.4689592636904641E-2</v>
      </c>
      <c r="D350" s="1">
        <f t="shared" si="20"/>
        <v>0.25260443846237168</v>
      </c>
      <c r="E350" s="1">
        <f>MAX(alpha*E351+(1+alpha)/2*(D350-D351),0)</f>
        <v>7.2994837970121766E-3</v>
      </c>
      <c r="F350" s="1">
        <f t="shared" si="21"/>
        <v>0.24530495466535951</v>
      </c>
      <c r="G350" s="1">
        <f>MAX(alpha*G349+(1+alpha)/2*(F350-F349),0)</f>
        <v>4.676951375928308E-3</v>
      </c>
      <c r="H350" s="1">
        <f t="shared" si="22"/>
        <v>0.24062800328943121</v>
      </c>
    </row>
    <row r="351" spans="1:8" x14ac:dyDescent="0.35">
      <c r="A351" s="3">
        <f t="shared" si="19"/>
        <v>44149</v>
      </c>
      <c r="B351" s="1">
        <v>0.26413839301897379</v>
      </c>
      <c r="C351" s="1">
        <f>MAX(alpha*C350+(1+alpha)/2*(B351-B350),0)</f>
        <v>1.055057153684558E-2</v>
      </c>
      <c r="D351" s="1">
        <f t="shared" si="20"/>
        <v>0.25358782148212822</v>
      </c>
      <c r="E351" s="1">
        <f>MAX(alpha*E352+(1+alpha)/2*(D351-D352),0)</f>
        <v>8.9145837335436115E-3</v>
      </c>
      <c r="F351" s="1">
        <f t="shared" si="21"/>
        <v>0.2446732377485846</v>
      </c>
      <c r="G351" s="1">
        <f>MAX(alpha*G350+(1+alpha)/2*(F351-F350),0)</f>
        <v>3.7181524903378343E-3</v>
      </c>
      <c r="H351" s="1">
        <f t="shared" si="22"/>
        <v>0.24095508525824677</v>
      </c>
    </row>
    <row r="352" spans="1:8" x14ac:dyDescent="0.35">
      <c r="A352" s="3">
        <f t="shared" si="19"/>
        <v>44150</v>
      </c>
      <c r="B352" s="1">
        <v>0.40351570498675088</v>
      </c>
      <c r="C352" s="1">
        <f>MAX(alpha*C351+(1+alpha)/2*(B352-B351),0)</f>
        <v>0.1439099414405676</v>
      </c>
      <c r="D352" s="1">
        <f t="shared" si="20"/>
        <v>0.25960576354618325</v>
      </c>
      <c r="E352" s="1">
        <f>MAX(alpha*E353+(1+alpha)/2*(D352-D353),0)</f>
        <v>1.589930050832063E-2</v>
      </c>
      <c r="F352" s="1">
        <f t="shared" si="21"/>
        <v>0.24370646303786261</v>
      </c>
      <c r="G352" s="1">
        <f>MAX(alpha*G351+(1+alpha)/2*(F352-F351),0)</f>
        <v>2.5087703944925866E-3</v>
      </c>
      <c r="H352" s="1">
        <f t="shared" si="22"/>
        <v>0.24119769264337002</v>
      </c>
    </row>
    <row r="353" spans="1:8" x14ac:dyDescent="0.35">
      <c r="A353" s="3">
        <f t="shared" si="19"/>
        <v>44151</v>
      </c>
      <c r="B353" s="1">
        <v>0.29397692664689928</v>
      </c>
      <c r="C353" s="1">
        <f>MAX(alpha*C352+(1+alpha)/2*(B353-B352),0)</f>
        <v>2.7685621680417868E-2</v>
      </c>
      <c r="D353" s="1">
        <f t="shared" si="20"/>
        <v>0.2662913049664814</v>
      </c>
      <c r="E353" s="1">
        <f>MAX(alpha*E354+(1+alpha)/2*(D353-D354),0)</f>
        <v>2.4145009865251456E-2</v>
      </c>
      <c r="F353" s="1">
        <f t="shared" si="21"/>
        <v>0.24214629510122995</v>
      </c>
      <c r="G353" s="1">
        <f>MAX(alpha*G352+(1+alpha)/2*(F353-F352),0)</f>
        <v>8.1895097589670582E-4</v>
      </c>
      <c r="H353" s="1">
        <f t="shared" si="22"/>
        <v>0.24132734412533324</v>
      </c>
    </row>
    <row r="354" spans="1:8" x14ac:dyDescent="0.35">
      <c r="A354" s="3">
        <f t="shared" si="19"/>
        <v>44152</v>
      </c>
      <c r="B354" s="1">
        <v>0.27674250260201888</v>
      </c>
      <c r="C354" s="1">
        <f>MAX(alpha*C353+(1+alpha)/2*(B354-B353),0)</f>
        <v>9.0210669111891392E-3</v>
      </c>
      <c r="D354" s="1">
        <f t="shared" si="20"/>
        <v>0.26772143569082973</v>
      </c>
      <c r="E354" s="1">
        <f>MAX(alpha*E355+(1+alpha)/2*(D354-D355),0)</f>
        <v>2.7590822364796461E-2</v>
      </c>
      <c r="F354" s="1">
        <f t="shared" si="21"/>
        <v>0.24013061332603328</v>
      </c>
      <c r="G354" s="1">
        <f>MAX(alpha*G353+(1+alpha)/2*(F354-F353),0)</f>
        <v>0</v>
      </c>
      <c r="H354" s="1">
        <f t="shared" si="22"/>
        <v>0.24013061332603328</v>
      </c>
    </row>
    <row r="355" spans="1:8" x14ac:dyDescent="0.35">
      <c r="A355" s="3">
        <f t="shared" ref="A355:A392" si="23">A354+1</f>
        <v>44153</v>
      </c>
      <c r="B355" s="1">
        <v>0.24354663838562862</v>
      </c>
      <c r="C355" s="1">
        <f>MAX(alpha*C354+(1+alpha)/2*(B355-B354),0)</f>
        <v>0</v>
      </c>
      <c r="D355" s="1">
        <f t="shared" si="20"/>
        <v>0.24354663838562862</v>
      </c>
      <c r="E355" s="1">
        <f>MAX(alpha*E356+(1+alpha)/2*(D355-D356),0)</f>
        <v>4.6730594146382589E-3</v>
      </c>
      <c r="F355" s="1">
        <f t="shared" si="21"/>
        <v>0.23887357897099037</v>
      </c>
      <c r="G355" s="1">
        <f>MAX(alpha*G354+(1+alpha)/2*(F355-F354),0)</f>
        <v>0</v>
      </c>
      <c r="H355" s="1">
        <f t="shared" si="22"/>
        <v>0.23887357897099037</v>
      </c>
    </row>
    <row r="356" spans="1:8" x14ac:dyDescent="0.35">
      <c r="A356" s="3">
        <f t="shared" si="23"/>
        <v>44154</v>
      </c>
      <c r="B356" s="1">
        <v>0.24391990684307366</v>
      </c>
      <c r="C356" s="1">
        <f>MAX(alpha*C355+(1+alpha)/2*(B356-B355),0)</f>
        <v>3.5927089029084736E-4</v>
      </c>
      <c r="D356" s="1">
        <f t="shared" si="20"/>
        <v>0.24356063595278282</v>
      </c>
      <c r="E356" s="1">
        <f>MAX(alpha*E357+(1+alpha)/2*(D356-D357),0)</f>
        <v>5.0665211600261365E-3</v>
      </c>
      <c r="F356" s="1">
        <f t="shared" si="21"/>
        <v>0.23849411479275667</v>
      </c>
      <c r="G356" s="1">
        <f>MAX(alpha*G355+(1+alpha)/2*(F356-F355),0)</f>
        <v>0</v>
      </c>
      <c r="H356" s="1">
        <f t="shared" si="22"/>
        <v>0.23849411479275667</v>
      </c>
    </row>
    <row r="357" spans="1:8" x14ac:dyDescent="0.35">
      <c r="A357" s="3">
        <f t="shared" si="23"/>
        <v>44155</v>
      </c>
      <c r="B357" s="1">
        <v>0.23829671786444398</v>
      </c>
      <c r="C357" s="1">
        <f>MAX(alpha*C356+(1+alpha)/2*(B357-B356),0)</f>
        <v>0</v>
      </c>
      <c r="D357" s="1">
        <f t="shared" si="20"/>
        <v>0.23829671786444398</v>
      </c>
      <c r="E357" s="1">
        <f>MAX(alpha*E358+(1+alpha)/2*(D357-D358),0)</f>
        <v>0</v>
      </c>
      <c r="F357" s="1">
        <f t="shared" si="21"/>
        <v>0.23829671786444398</v>
      </c>
      <c r="G357" s="1">
        <f>MAX(alpha*G356+(1+alpha)/2*(F357-F356),0)</f>
        <v>0</v>
      </c>
      <c r="H357" s="1">
        <f t="shared" si="22"/>
        <v>0.23829671786444398</v>
      </c>
    </row>
    <row r="358" spans="1:8" x14ac:dyDescent="0.35">
      <c r="A358" s="3">
        <f t="shared" si="23"/>
        <v>44156</v>
      </c>
      <c r="B358" s="1">
        <v>0.25079473873284391</v>
      </c>
      <c r="C358" s="1">
        <f>MAX(alpha*C357+(1+alpha)/2*(B358-B357),0)</f>
        <v>1.2029345085834937E-2</v>
      </c>
      <c r="D358" s="1">
        <f t="shared" si="20"/>
        <v>0.23876539364700897</v>
      </c>
      <c r="E358" s="1">
        <f>MAX(alpha*E359+(1+alpha)/2*(D358-D359),0)</f>
        <v>0</v>
      </c>
      <c r="F358" s="1">
        <f t="shared" si="21"/>
        <v>0.23876539364700897</v>
      </c>
      <c r="G358" s="1">
        <f>MAX(alpha*G357+(1+alpha)/2*(F358-F357),0)</f>
        <v>4.5110044071879979E-4</v>
      </c>
      <c r="H358" s="1">
        <f t="shared" si="22"/>
        <v>0.23831429320629016</v>
      </c>
    </row>
    <row r="359" spans="1:8" x14ac:dyDescent="0.35">
      <c r="A359" s="3">
        <f t="shared" si="23"/>
        <v>44157</v>
      </c>
      <c r="B359" s="1">
        <v>0.25393648859946494</v>
      </c>
      <c r="C359" s="1">
        <f>MAX(alpha*C358+(1+alpha)/2*(B359-B358),0)</f>
        <v>1.4151078451020052E-2</v>
      </c>
      <c r="D359" s="1">
        <f t="shared" si="20"/>
        <v>0.2397854101484449</v>
      </c>
      <c r="E359" s="1">
        <f>MAX(alpha*E360+(1+alpha)/2*(D359-D360),0)</f>
        <v>0</v>
      </c>
      <c r="F359" s="1">
        <f t="shared" si="21"/>
        <v>0.2397854101484449</v>
      </c>
      <c r="G359" s="1">
        <f>MAX(alpha*G358+(1+alpha)/2*(F359-F358),0)</f>
        <v>1.3990337902969755E-3</v>
      </c>
      <c r="H359" s="1">
        <f t="shared" si="22"/>
        <v>0.23838637635814791</v>
      </c>
    </row>
    <row r="360" spans="1:8" x14ac:dyDescent="0.35">
      <c r="A360" s="3">
        <f t="shared" si="23"/>
        <v>44158</v>
      </c>
      <c r="B360" s="1">
        <v>0.25260814734355985</v>
      </c>
      <c r="C360" s="1">
        <f>MAX(alpha*C359+(1+alpha)/2*(B360-B359),0)</f>
        <v>1.1811219108384905E-2</v>
      </c>
      <c r="D360" s="1">
        <f t="shared" si="20"/>
        <v>0.24079692823517496</v>
      </c>
      <c r="E360" s="1">
        <f>MAX(alpha*E361+(1+alpha)/2*(D360-D361),0)</f>
        <v>0</v>
      </c>
      <c r="F360" s="1">
        <f t="shared" si="21"/>
        <v>0.24079692823517496</v>
      </c>
      <c r="G360" s="1">
        <f>MAX(alpha*G359+(1+alpha)/2*(F360-F359),0)</f>
        <v>2.267692414502382E-3</v>
      </c>
      <c r="H360" s="1">
        <f t="shared" si="22"/>
        <v>0.23852923582067256</v>
      </c>
    </row>
    <row r="361" spans="1:8" x14ac:dyDescent="0.35">
      <c r="A361" s="3">
        <f t="shared" si="23"/>
        <v>44159</v>
      </c>
      <c r="B361" s="1">
        <v>0.51471417357078753</v>
      </c>
      <c r="C361" s="1">
        <f>MAX(alpha*C360+(1+alpha)/2*(B361-B360),0)</f>
        <v>0.2632024279189627</v>
      </c>
      <c r="D361" s="1">
        <f t="shared" si="20"/>
        <v>0.25151174565182483</v>
      </c>
      <c r="E361" s="1">
        <f>MAX(alpha*E362+(1+alpha)/2*(D361-D362),0)</f>
        <v>0</v>
      </c>
      <c r="F361" s="1">
        <f t="shared" si="21"/>
        <v>0.25151174565182483</v>
      </c>
      <c r="G361" s="1">
        <f>MAX(alpha*G360+(1+alpha)/2*(F361-F360),0)</f>
        <v>1.2410627246940201E-2</v>
      </c>
      <c r="H361" s="1">
        <f t="shared" si="22"/>
        <v>0.23910111840488463</v>
      </c>
    </row>
    <row r="362" spans="1:8" x14ac:dyDescent="0.35">
      <c r="A362" s="3">
        <f t="shared" si="23"/>
        <v>44160</v>
      </c>
      <c r="B362" s="1">
        <v>1.0925447577173439</v>
      </c>
      <c r="C362" s="1">
        <f>MAX(alpha*C361+(1+alpha)/2*(B362-B361),0)</f>
        <v>0.79962418306610106</v>
      </c>
      <c r="D362" s="1">
        <f t="shared" si="20"/>
        <v>0.29292057465124288</v>
      </c>
      <c r="E362" s="1">
        <f>MAX(alpha*E363+(1+alpha)/2*(D362-D363),0)</f>
        <v>0</v>
      </c>
      <c r="F362" s="1">
        <f t="shared" si="21"/>
        <v>0.29292057465124288</v>
      </c>
      <c r="G362" s="1">
        <f>MAX(alpha*G361+(1+alpha)/2*(F362-F361),0)</f>
        <v>5.1335828115359569E-2</v>
      </c>
      <c r="H362" s="1">
        <f t="shared" si="22"/>
        <v>0.2415847465358833</v>
      </c>
    </row>
    <row r="363" spans="1:8" x14ac:dyDescent="0.35">
      <c r="A363" s="3">
        <f t="shared" si="23"/>
        <v>44161</v>
      </c>
      <c r="B363" s="1">
        <v>0.90711113320091485</v>
      </c>
      <c r="C363" s="1">
        <f>MAX(alpha*C362+(1+alpha)/2*(B363-B362),0)</f>
        <v>0.56117250573908051</v>
      </c>
      <c r="D363" s="1">
        <f t="shared" si="20"/>
        <v>0.34593862746183435</v>
      </c>
      <c r="E363" s="1">
        <f>MAX(alpha*E364+(1+alpha)/2*(D363-D364),0)</f>
        <v>3.4755980878278012E-2</v>
      </c>
      <c r="F363" s="1">
        <f t="shared" si="21"/>
        <v>0.31118264658355632</v>
      </c>
      <c r="G363" s="1">
        <f>MAX(alpha*G362+(1+alpha)/2*(F363-F362),0)</f>
        <v>6.5062885241559287E-2</v>
      </c>
      <c r="H363" s="1">
        <f t="shared" si="22"/>
        <v>0.24611976134199703</v>
      </c>
    </row>
    <row r="364" spans="1:8" x14ac:dyDescent="0.35">
      <c r="A364" s="3">
        <f t="shared" si="23"/>
        <v>44162</v>
      </c>
      <c r="B364" s="1">
        <v>0.60145555756188085</v>
      </c>
      <c r="C364" s="1">
        <f>MAX(alpha*C363+(1+alpha)/2*(B364-B363),0)</f>
        <v>0.22489107625607929</v>
      </c>
      <c r="D364" s="1">
        <f t="shared" si="20"/>
        <v>0.37656448130580156</v>
      </c>
      <c r="E364" s="1">
        <f>MAX(alpha*E365+(1+alpha)/2*(D364-D365),0)</f>
        <v>6.9441475895239413E-2</v>
      </c>
      <c r="F364" s="1">
        <f t="shared" si="21"/>
        <v>0.30712300541056214</v>
      </c>
      <c r="G364" s="1">
        <f>MAX(alpha*G363+(1+alpha)/2*(F364-F363),0)</f>
        <v>5.6275764219435448E-2</v>
      </c>
      <c r="H364" s="1">
        <f t="shared" si="22"/>
        <v>0.25084724119112667</v>
      </c>
    </row>
    <row r="365" spans="1:8" x14ac:dyDescent="0.35">
      <c r="A365" s="3">
        <f t="shared" si="23"/>
        <v>44163</v>
      </c>
      <c r="B365" s="1">
        <v>0.45350215392969129</v>
      </c>
      <c r="C365" s="1">
        <f>MAX(alpha*C364+(1+alpha)/2*(B365-B364),0)</f>
        <v>6.5619094540890904E-2</v>
      </c>
      <c r="D365" s="1">
        <f t="shared" si="20"/>
        <v>0.38788305938880041</v>
      </c>
      <c r="E365" s="1">
        <f>MAX(alpha*E366+(1+alpha)/2*(D365-D366),0)</f>
        <v>8.6849305189325182E-2</v>
      </c>
      <c r="F365" s="1">
        <f t="shared" si="21"/>
        <v>0.3010337541994752</v>
      </c>
      <c r="G365" s="1">
        <f>MAX(alpha*G364+(1+alpha)/2*(F365-F364),0)</f>
        <v>4.6194177612306611E-2</v>
      </c>
      <c r="H365" s="1">
        <f t="shared" si="22"/>
        <v>0.2548395765871686</v>
      </c>
    </row>
    <row r="366" spans="1:8" x14ac:dyDescent="0.35">
      <c r="A366" s="3">
        <f t="shared" si="23"/>
        <v>44164</v>
      </c>
      <c r="B366" s="1">
        <v>0.39035248607774159</v>
      </c>
      <c r="C366" s="1">
        <f>MAX(alpha*C365+(1+alpha)/2*(B366-B365),0)</f>
        <v>0</v>
      </c>
      <c r="D366" s="1">
        <f t="shared" si="20"/>
        <v>0.39035248607774159</v>
      </c>
      <c r="E366" s="1">
        <f>MAX(alpha*E367+(1+alpha)/2*(D366-D367),0)</f>
        <v>9.64606793269525E-2</v>
      </c>
      <c r="F366" s="1">
        <f t="shared" si="21"/>
        <v>0.29389180675078908</v>
      </c>
      <c r="G366" s="1">
        <f>MAX(alpha*G365+(1+alpha)/2*(F366-F365),0)</f>
        <v>3.5855489872023222E-2</v>
      </c>
      <c r="H366" s="1">
        <f t="shared" si="22"/>
        <v>0.25803631687876583</v>
      </c>
    </row>
    <row r="367" spans="1:8" x14ac:dyDescent="0.35">
      <c r="A367" s="3">
        <f t="shared" si="23"/>
        <v>44165</v>
      </c>
      <c r="B367" s="1">
        <v>0.3476555135050175</v>
      </c>
      <c r="C367" s="1">
        <f>MAX(alpha*C366+(1+alpha)/2*(B367-B366),0)</f>
        <v>0</v>
      </c>
      <c r="D367" s="1">
        <f t="shared" si="20"/>
        <v>0.3476555135050175</v>
      </c>
      <c r="E367" s="1">
        <f>MAX(alpha*E368+(1+alpha)/2*(D367-D368),0)</f>
        <v>5.9853884568330337E-2</v>
      </c>
      <c r="F367" s="1">
        <f t="shared" si="21"/>
        <v>0.28780162893668715</v>
      </c>
      <c r="G367" s="1">
        <f>MAX(alpha*G366+(1+alpha)/2*(F367-F366),0)</f>
        <v>2.7304531985548375E-2</v>
      </c>
      <c r="H367" s="1">
        <f t="shared" si="22"/>
        <v>0.26049709695113876</v>
      </c>
    </row>
    <row r="368" spans="1:8" x14ac:dyDescent="0.35">
      <c r="A368" s="3">
        <f t="shared" si="23"/>
        <v>44166</v>
      </c>
      <c r="B368" s="1">
        <v>0.32620370997277448</v>
      </c>
      <c r="C368" s="1">
        <f>MAX(alpha*C367+(1+alpha)/2*(B368-B367),0)</f>
        <v>0</v>
      </c>
      <c r="D368" s="1">
        <f t="shared" si="20"/>
        <v>0.32620370997277448</v>
      </c>
      <c r="E368" s="1">
        <f>MAX(alpha*E369+(1+alpha)/2*(D368-D369),0)</f>
        <v>4.2385430993023172E-2</v>
      </c>
      <c r="F368" s="1">
        <f t="shared" si="21"/>
        <v>0.28381827897975132</v>
      </c>
      <c r="G368" s="1">
        <f>MAX(alpha*G367+(1+alpha)/2*(F368-F367),0)</f>
        <v>2.1422717753081508E-2</v>
      </c>
      <c r="H368" s="1">
        <f t="shared" si="22"/>
        <v>0.26239556122666979</v>
      </c>
    </row>
    <row r="369" spans="1:8" x14ac:dyDescent="0.35">
      <c r="A369" s="3">
        <f t="shared" si="23"/>
        <v>44167</v>
      </c>
      <c r="B369" s="1">
        <v>0.31957792238571442</v>
      </c>
      <c r="C369" s="1">
        <f>MAX(alpha*C368+(1+alpha)/2*(B369-B368),0)</f>
        <v>0</v>
      </c>
      <c r="D369" s="1">
        <f t="shared" si="20"/>
        <v>0.31957792238571442</v>
      </c>
      <c r="E369" s="1">
        <f>MAX(alpha*E370+(1+alpha)/2*(D369-D370),0)</f>
        <v>3.8927686962678773E-2</v>
      </c>
      <c r="F369" s="1">
        <f t="shared" si="21"/>
        <v>0.28065023542303563</v>
      </c>
      <c r="G369" s="1">
        <f>MAX(alpha*G368+(1+alpha)/2*(F369-F368),0)</f>
        <v>1.6766771998261553E-2</v>
      </c>
      <c r="H369" s="1">
        <f t="shared" si="22"/>
        <v>0.26388346342477409</v>
      </c>
    </row>
    <row r="370" spans="1:8" x14ac:dyDescent="0.35">
      <c r="A370" s="3">
        <f t="shared" si="23"/>
        <v>44168</v>
      </c>
      <c r="B370" s="1">
        <v>0.29971773686037967</v>
      </c>
      <c r="C370" s="1">
        <f>MAX(alpha*C369+(1+alpha)/2*(B370-B369),0)</f>
        <v>0</v>
      </c>
      <c r="D370" s="1">
        <f t="shared" si="20"/>
        <v>0.29971773686037967</v>
      </c>
      <c r="E370" s="1">
        <f>MAX(alpha*E371+(1+alpha)/2*(D370-D371),0)</f>
        <v>2.1418657723831429E-2</v>
      </c>
      <c r="F370" s="1">
        <f t="shared" si="21"/>
        <v>0.27829907913654822</v>
      </c>
      <c r="G370" s="1">
        <f>MAX(alpha*G369+(1+alpha)/2*(F370-F369),0)</f>
        <v>1.3246276172647804E-2</v>
      </c>
      <c r="H370" s="1">
        <f t="shared" si="22"/>
        <v>0.26505280296390044</v>
      </c>
    </row>
    <row r="371" spans="1:8" x14ac:dyDescent="0.35">
      <c r="A371" s="3">
        <f t="shared" si="23"/>
        <v>44169</v>
      </c>
      <c r="B371" s="1">
        <v>0.30484142829225264</v>
      </c>
      <c r="C371" s="1">
        <f>MAX(alpha*C370+(1+alpha)/2*(B371-B370),0)</f>
        <v>4.9315530031777315E-3</v>
      </c>
      <c r="D371" s="1">
        <f t="shared" si="20"/>
        <v>0.29990987528907492</v>
      </c>
      <c r="E371" s="1">
        <f>MAX(alpha*E372+(1+alpha)/2*(D371-D372),0)</f>
        <v>2.3355233471838498E-2</v>
      </c>
      <c r="F371" s="1">
        <f t="shared" si="21"/>
        <v>0.27655464181723644</v>
      </c>
      <c r="G371" s="1">
        <f>MAX(alpha*G370+(1+alpha)/2*(F371-F370),0)</f>
        <v>1.0573784539861623E-2</v>
      </c>
      <c r="H371" s="1">
        <f t="shared" si="22"/>
        <v>0.2659808572773748</v>
      </c>
    </row>
    <row r="372" spans="1:8" x14ac:dyDescent="0.35">
      <c r="A372" s="3">
        <f t="shared" si="23"/>
        <v>44170</v>
      </c>
      <c r="B372" s="1">
        <v>0.29954356651120106</v>
      </c>
      <c r="C372" s="1">
        <f>MAX(alpha*C371+(1+alpha)/2*(B372-B371),0)</f>
        <v>0</v>
      </c>
      <c r="D372" s="1">
        <f t="shared" si="20"/>
        <v>0.29954356651120106</v>
      </c>
      <c r="E372" s="1">
        <f>MAX(alpha*E373+(1+alpha)/2*(D372-D373),0)</f>
        <v>2.4867741916902605E-2</v>
      </c>
      <c r="F372" s="1">
        <f t="shared" si="21"/>
        <v>0.27467582459429846</v>
      </c>
      <c r="G372" s="1">
        <f>MAX(alpha*G371+(1+alpha)/2*(F372-F371),0)</f>
        <v>7.9723891222941989E-3</v>
      </c>
      <c r="H372" s="1">
        <f t="shared" si="22"/>
        <v>0.26670343547200426</v>
      </c>
    </row>
    <row r="373" spans="1:8" x14ac:dyDescent="0.35">
      <c r="A373" s="3">
        <f t="shared" si="23"/>
        <v>44171</v>
      </c>
      <c r="B373" s="1">
        <v>0.29570558478844761</v>
      </c>
      <c r="C373" s="1">
        <f>MAX(alpha*C372+(1+alpha)/2*(B373-B372),0)</f>
        <v>0</v>
      </c>
      <c r="D373" s="1">
        <f t="shared" si="20"/>
        <v>0.29570558478844761</v>
      </c>
      <c r="E373" s="1">
        <f>MAX(alpha*E374+(1+alpha)/2*(D373-D374),0)</f>
        <v>2.2890469739191781E-2</v>
      </c>
      <c r="F373" s="1">
        <f t="shared" si="21"/>
        <v>0.27281511504925582</v>
      </c>
      <c r="G373" s="1">
        <f>MAX(alpha*G372+(1+alpha)/2*(F373-F372),0)</f>
        <v>5.5835270010185954E-3</v>
      </c>
      <c r="H373" s="1">
        <f t="shared" si="22"/>
        <v>0.26723158804823721</v>
      </c>
    </row>
    <row r="374" spans="1:8" x14ac:dyDescent="0.35">
      <c r="A374" s="3">
        <f t="shared" si="23"/>
        <v>44172</v>
      </c>
      <c r="B374" s="1">
        <v>0.28285828225890525</v>
      </c>
      <c r="C374" s="1">
        <f>MAX(alpha*C373+(1+alpha)/2*(B374-B373),0)</f>
        <v>0</v>
      </c>
      <c r="D374" s="1">
        <f t="shared" si="20"/>
        <v>0.28285828225890525</v>
      </c>
      <c r="E374" s="1">
        <f>MAX(alpha*E375+(1+alpha)/2*(D374-D375),0)</f>
        <v>1.1378314653521361E-2</v>
      </c>
      <c r="F374" s="1">
        <f t="shared" si="21"/>
        <v>0.2714799676053839</v>
      </c>
      <c r="G374" s="1">
        <f>MAX(alpha*G373+(1+alpha)/2*(F374-F373),0)</f>
        <v>3.8796830612154781E-3</v>
      </c>
      <c r="H374" s="1">
        <f t="shared" si="22"/>
        <v>0.2676002845441684</v>
      </c>
    </row>
    <row r="375" spans="1:8" x14ac:dyDescent="0.35">
      <c r="A375" s="3">
        <f t="shared" si="23"/>
        <v>44173</v>
      </c>
      <c r="B375" s="1">
        <v>0.28032351306021014</v>
      </c>
      <c r="C375" s="1">
        <f>MAX(alpha*C374+(1+alpha)/2*(B375-B374),0)</f>
        <v>0</v>
      </c>
      <c r="D375" s="1">
        <f t="shared" si="20"/>
        <v>0.28032351306021014</v>
      </c>
      <c r="E375" s="1">
        <f>MAX(alpha*E376+(1+alpha)/2*(D375-D376),0)</f>
        <v>9.6633505943538589E-3</v>
      </c>
      <c r="F375" s="1">
        <f t="shared" si="21"/>
        <v>0.27066016246585628</v>
      </c>
      <c r="G375" s="1">
        <f>MAX(alpha*G374+(1+alpha)/2*(F375-F374),0)</f>
        <v>2.7996443848289842E-3</v>
      </c>
      <c r="H375" s="1">
        <f t="shared" si="22"/>
        <v>0.26786051808102729</v>
      </c>
    </row>
    <row r="376" spans="1:8" x14ac:dyDescent="0.35">
      <c r="A376" s="3">
        <f t="shared" si="23"/>
        <v>44174</v>
      </c>
      <c r="B376" s="1">
        <v>0.27123865962116339</v>
      </c>
      <c r="C376" s="1">
        <f>MAX(alpha*C375+(1+alpha)/2*(B376-B375),0)</f>
        <v>0</v>
      </c>
      <c r="D376" s="1">
        <f t="shared" si="20"/>
        <v>0.27123865962116339</v>
      </c>
      <c r="E376" s="1">
        <f>MAX(alpha*E377+(1+alpha)/2*(D376-D377),0)</f>
        <v>9.9370719921228613E-4</v>
      </c>
      <c r="F376" s="1">
        <f t="shared" si="21"/>
        <v>0.27024495242195112</v>
      </c>
      <c r="G376" s="1">
        <f>MAX(alpha*G375+(1+alpha)/2*(F376-F375),0)</f>
        <v>2.1900313887080977E-3</v>
      </c>
      <c r="H376" s="1">
        <f t="shared" si="22"/>
        <v>0.26805492103324302</v>
      </c>
    </row>
    <row r="377" spans="1:8" x14ac:dyDescent="0.35">
      <c r="A377" s="3">
        <f t="shared" si="23"/>
        <v>44175</v>
      </c>
      <c r="B377" s="1">
        <v>0.27020623655704673</v>
      </c>
      <c r="C377" s="1">
        <f>MAX(alpha*C376+(1+alpha)/2*(B377-B376),0)</f>
        <v>0</v>
      </c>
      <c r="D377" s="1">
        <f t="shared" si="20"/>
        <v>0.27020623655704673</v>
      </c>
      <c r="E377" s="1">
        <f>MAX(alpha*E378+(1+alpha)/2*(D377-D378),0)</f>
        <v>0</v>
      </c>
      <c r="F377" s="1">
        <f t="shared" si="21"/>
        <v>0.27020623655704673</v>
      </c>
      <c r="G377" s="1">
        <f>MAX(alpha*G376+(1+alpha)/2*(F377-F376),0)</f>
        <v>1.9885150145845126E-3</v>
      </c>
      <c r="H377" s="1">
        <f t="shared" si="22"/>
        <v>0.26821772154246221</v>
      </c>
    </row>
    <row r="378" spans="1:8" x14ac:dyDescent="0.35">
      <c r="A378" s="3">
        <f t="shared" si="23"/>
        <v>44176</v>
      </c>
      <c r="B378" s="1">
        <v>0.37661694233124798</v>
      </c>
      <c r="C378" s="1">
        <f>MAX(alpha*C377+(1+alpha)/2*(B378-B377),0)</f>
        <v>0.10242030430766871</v>
      </c>
      <c r="D378" s="1">
        <f t="shared" si="20"/>
        <v>0.2741966380235793</v>
      </c>
      <c r="E378" s="1">
        <f>MAX(alpha*E379+(1+alpha)/2*(D378-D379),0)</f>
        <v>0</v>
      </c>
      <c r="F378" s="1">
        <f t="shared" si="21"/>
        <v>0.2741966380235793</v>
      </c>
      <c r="G378" s="1">
        <f>MAX(alpha*G377+(1+alpha)/2*(F378-F377),0)</f>
        <v>5.6801378000282702E-3</v>
      </c>
      <c r="H378" s="1">
        <f t="shared" si="22"/>
        <v>0.268516500223551</v>
      </c>
    </row>
    <row r="379" spans="1:8" x14ac:dyDescent="0.35">
      <c r="A379" s="3">
        <f t="shared" si="23"/>
        <v>44177</v>
      </c>
      <c r="B379" s="1">
        <v>1.6420432814931445</v>
      </c>
      <c r="C379" s="1">
        <f>MAX(alpha*C378+(1+alpha)/2*(B379-B378),0)</f>
        <v>1.3127116329279189</v>
      </c>
      <c r="D379" s="1">
        <f t="shared" si="20"/>
        <v>0.32933164856522557</v>
      </c>
      <c r="E379" s="1">
        <f>MAX(alpha*E380+(1+alpha)/2*(D379-D380),0)</f>
        <v>0</v>
      </c>
      <c r="F379" s="1">
        <f t="shared" si="21"/>
        <v>0.32933164856522557</v>
      </c>
      <c r="G379" s="1">
        <f>MAX(alpha*G378+(1+alpha)/2*(F379-F378),0)</f>
        <v>5.8321575111360685E-2</v>
      </c>
      <c r="H379" s="1">
        <f t="shared" si="22"/>
        <v>0.27101007345386485</v>
      </c>
    </row>
    <row r="380" spans="1:8" x14ac:dyDescent="0.35">
      <c r="A380" s="3">
        <f t="shared" si="23"/>
        <v>44178</v>
      </c>
      <c r="B380" s="1">
        <v>0.95381117274173999</v>
      </c>
      <c r="C380" s="1">
        <f>MAX(alpha*C379+(1+alpha)/2*(B380-B379),0)</f>
        <v>0.55183485578509817</v>
      </c>
      <c r="D380" s="1">
        <f t="shared" si="20"/>
        <v>0.40197631695664182</v>
      </c>
      <c r="E380" s="1">
        <f>MAX(alpha*E381+(1+alpha)/2*(D380-D381),0)</f>
        <v>6.4312014410281337E-2</v>
      </c>
      <c r="F380" s="1">
        <f t="shared" si="21"/>
        <v>0.33766430254636048</v>
      </c>
      <c r="G380" s="1">
        <f>MAX(alpha*G379+(1+alpha)/2*(F380-F379),0)</f>
        <v>6.1967636434850995E-2</v>
      </c>
      <c r="H380" s="1">
        <f t="shared" si="22"/>
        <v>0.2756966661115095</v>
      </c>
    </row>
    <row r="381" spans="1:8" x14ac:dyDescent="0.35">
      <c r="A381" s="3">
        <f t="shared" si="23"/>
        <v>44179</v>
      </c>
      <c r="B381" s="1">
        <v>0.6934728982286007</v>
      </c>
      <c r="C381" s="1">
        <f>MAX(alpha*C380+(1+alpha)/2*(B381-B380),0)</f>
        <v>0.25987165238231924</v>
      </c>
      <c r="D381" s="1">
        <f t="shared" si="20"/>
        <v>0.43360124584628146</v>
      </c>
      <c r="E381" s="1">
        <f>MAX(alpha*E382+(1+alpha)/2*(D381-D382),0)</f>
        <v>0.10243352266655079</v>
      </c>
      <c r="F381" s="1">
        <f t="shared" si="21"/>
        <v>0.33116772317973064</v>
      </c>
      <c r="G381" s="1">
        <f>MAX(alpha*G380+(1+alpha)/2*(F381-F380),0)</f>
        <v>5.1067106061855952E-2</v>
      </c>
      <c r="H381" s="1">
        <f t="shared" si="22"/>
        <v>0.28010061711787471</v>
      </c>
    </row>
    <row r="382" spans="1:8" x14ac:dyDescent="0.35">
      <c r="A382" s="3">
        <f t="shared" si="23"/>
        <v>44180</v>
      </c>
      <c r="B382" s="1">
        <v>0.49526365789205268</v>
      </c>
      <c r="C382" s="1">
        <f>MAX(alpha*C381+(1+alpha)/2*(B382-B381),0)</f>
        <v>4.9604884629717849E-2</v>
      </c>
      <c r="D382" s="1">
        <f t="shared" si="20"/>
        <v>0.44565877326233483</v>
      </c>
      <c r="E382" s="1">
        <f>MAX(alpha*E383+(1+alpha)/2*(D382-D383),0)</f>
        <v>0.12328528951838069</v>
      </c>
      <c r="F382" s="1">
        <f t="shared" si="21"/>
        <v>0.32237348374395414</v>
      </c>
      <c r="G382" s="1">
        <f>MAX(alpha*G381+(1+alpha)/2*(F382-F381),0)</f>
        <v>3.8772617650281872E-2</v>
      </c>
      <c r="H382" s="1">
        <f t="shared" si="22"/>
        <v>0.28360086609367224</v>
      </c>
    </row>
    <row r="383" spans="1:8" x14ac:dyDescent="0.35">
      <c r="A383" s="3">
        <f t="shared" si="23"/>
        <v>44181</v>
      </c>
      <c r="B383" s="1">
        <v>0.44506123255176316</v>
      </c>
      <c r="C383" s="1">
        <f>MAX(alpha*C382+(1+alpha)/2*(B383-B382),0)</f>
        <v>0</v>
      </c>
      <c r="D383" s="1">
        <f t="shared" si="20"/>
        <v>0.44506123255176316</v>
      </c>
      <c r="E383" s="1">
        <f>MAX(alpha*E384+(1+alpha)/2*(D383-D384),0)</f>
        <v>0.13265962873995185</v>
      </c>
      <c r="F383" s="1">
        <f t="shared" si="21"/>
        <v>0.31240160381181131</v>
      </c>
      <c r="G383" s="1">
        <f>MAX(alpha*G382+(1+alpha)/2*(F383-F382),0)</f>
        <v>2.6266736891823267E-2</v>
      </c>
      <c r="H383" s="1">
        <f t="shared" si="22"/>
        <v>0.28613486691998802</v>
      </c>
    </row>
    <row r="384" spans="1:8" x14ac:dyDescent="0.35">
      <c r="A384" s="3">
        <f t="shared" si="23"/>
        <v>44182</v>
      </c>
      <c r="B384" s="1">
        <v>0.39787493600212986</v>
      </c>
      <c r="C384" s="1">
        <f>MAX(alpha*C383+(1+alpha)/2*(B384-B383),0)</f>
        <v>0</v>
      </c>
      <c r="D384" s="1">
        <f t="shared" si="20"/>
        <v>0.39787493600212986</v>
      </c>
      <c r="E384" s="1">
        <f>MAX(alpha*E385+(1+alpha)/2*(D384-D385),0)</f>
        <v>9.4316560336140318E-2</v>
      </c>
      <c r="F384" s="1">
        <f t="shared" si="21"/>
        <v>0.30355837566598953</v>
      </c>
      <c r="G384" s="1">
        <f>MAX(alpha*G383+(1+alpha)/2*(F384-F383),0)</f>
        <v>1.5785124534583063E-2</v>
      </c>
      <c r="H384" s="1">
        <f t="shared" si="22"/>
        <v>0.28777325113140645</v>
      </c>
    </row>
    <row r="385" spans="1:8" x14ac:dyDescent="0.35">
      <c r="A385" s="3">
        <f t="shared" si="23"/>
        <v>44183</v>
      </c>
      <c r="B385" s="1">
        <v>0.35763424662213034</v>
      </c>
      <c r="C385" s="1">
        <f>MAX(alpha*C384+(1+alpha)/2*(B385-B384),0)</f>
        <v>0</v>
      </c>
      <c r="D385" s="1">
        <f t="shared" si="20"/>
        <v>0.35763424662213034</v>
      </c>
      <c r="E385" s="1">
        <f>MAX(alpha*E386+(1+alpha)/2*(D385-D386),0)</f>
        <v>6.009178033285488E-2</v>
      </c>
      <c r="F385" s="1">
        <f t="shared" si="21"/>
        <v>0.29754246628927544</v>
      </c>
      <c r="G385" s="1">
        <f>MAX(alpha*G384+(1+alpha)/2*(F385-F384),0)</f>
        <v>8.8109274194020232E-3</v>
      </c>
      <c r="H385" s="1">
        <f t="shared" si="22"/>
        <v>0.28873153886987341</v>
      </c>
    </row>
    <row r="386" spans="1:8" x14ac:dyDescent="0.35">
      <c r="A386" s="3">
        <f t="shared" si="23"/>
        <v>44184</v>
      </c>
      <c r="B386" s="1">
        <v>0.35218165211293789</v>
      </c>
      <c r="C386" s="1">
        <f>MAX(alpha*C385+(1+alpha)/2*(B386-B385),0)</f>
        <v>0</v>
      </c>
      <c r="D386" s="1">
        <f t="shared" si="20"/>
        <v>0.35218165211293789</v>
      </c>
      <c r="E386" s="1">
        <f>MAX(alpha*E387+(1+alpha)/2*(D386-D387),0)</f>
        <v>5.9290441208386113E-2</v>
      </c>
      <c r="F386" s="1">
        <f t="shared" si="21"/>
        <v>0.29289121090455178</v>
      </c>
      <c r="G386" s="1">
        <f>MAX(alpha*G385+(1+alpha)/2*(F386-F385),0)</f>
        <v>3.6732745551503465E-3</v>
      </c>
      <c r="H386" s="1">
        <f t="shared" si="22"/>
        <v>0.28921793634940141</v>
      </c>
    </row>
    <row r="387" spans="1:8" x14ac:dyDescent="0.35">
      <c r="A387" s="3">
        <f t="shared" si="23"/>
        <v>44185</v>
      </c>
      <c r="B387" s="1">
        <v>0.34583177892502498</v>
      </c>
      <c r="C387" s="1">
        <f>MAX(alpha*C386+(1+alpha)/2*(B387-B386),0)</f>
        <v>0</v>
      </c>
      <c r="D387" s="1">
        <f t="shared" si="20"/>
        <v>0.34583177892502498</v>
      </c>
      <c r="E387" s="1">
        <f>MAX(alpha*E388+(1+alpha)/2*(D387-D388),0)</f>
        <v>5.7490473800021542E-2</v>
      </c>
      <c r="F387" s="1">
        <f t="shared" si="21"/>
        <v>0.28834130512500344</v>
      </c>
      <c r="G387" s="1">
        <f>MAX(alpha*G386+(1+alpha)/2*(F387-F386),0)</f>
        <v>0</v>
      </c>
      <c r="H387" s="1">
        <f t="shared" si="22"/>
        <v>0.28834130512500344</v>
      </c>
    </row>
    <row r="388" spans="1:8" x14ac:dyDescent="0.35">
      <c r="A388" s="3">
        <f t="shared" si="23"/>
        <v>44186</v>
      </c>
      <c r="B388" s="1">
        <v>0.3245401853015672</v>
      </c>
      <c r="C388" s="1">
        <f>MAX(alpha*C387+(1+alpha)/2*(B388-B387),0)</f>
        <v>0</v>
      </c>
      <c r="D388" s="1">
        <f t="shared" ref="D388:D421" si="24">B388-C388</f>
        <v>0.3245401853015672</v>
      </c>
      <c r="E388" s="1">
        <f>MAX(alpha*E389+(1+alpha)/2*(D388-D389),0)</f>
        <v>3.9997097229668564E-2</v>
      </c>
      <c r="F388" s="1">
        <f t="shared" ref="F388:F421" si="25">D388-E388</f>
        <v>0.28454308807189865</v>
      </c>
      <c r="G388" s="1">
        <f>MAX(alpha*G387+(1+alpha)/2*(F388-F387),0)</f>
        <v>0</v>
      </c>
      <c r="H388" s="1">
        <f t="shared" ref="H388:H421" si="26">F388-G388</f>
        <v>0.28454308807189865</v>
      </c>
    </row>
    <row r="389" spans="1:8" x14ac:dyDescent="0.35">
      <c r="A389" s="3">
        <f t="shared" si="23"/>
        <v>44187</v>
      </c>
      <c r="B389" s="1">
        <v>0.31764874876178623</v>
      </c>
      <c r="C389" s="1">
        <f>MAX(alpha*C388+(1+alpha)/2*(B389-B388),0)</f>
        <v>0</v>
      </c>
      <c r="D389" s="1">
        <f t="shared" si="24"/>
        <v>0.31764874876178623</v>
      </c>
      <c r="E389" s="1">
        <f>MAX(alpha*E390+(1+alpha)/2*(D389-D390),0)</f>
        <v>3.6069286010950677E-2</v>
      </c>
      <c r="F389" s="1">
        <f t="shared" si="25"/>
        <v>0.28157946275083556</v>
      </c>
      <c r="G389" s="1">
        <f>MAX(alpha*G388+(1+alpha)/2*(F389-F388),0)</f>
        <v>0</v>
      </c>
      <c r="H389" s="1">
        <f t="shared" si="26"/>
        <v>0.28157946275083556</v>
      </c>
    </row>
    <row r="390" spans="1:8" x14ac:dyDescent="0.35">
      <c r="A390" s="3">
        <f t="shared" si="23"/>
        <v>44188</v>
      </c>
      <c r="B390" s="1">
        <v>0.32599420610084623</v>
      </c>
      <c r="C390" s="1">
        <f>MAX(alpha*C389+(1+alpha)/2*(B390-B389),0)</f>
        <v>8.0325026888452538E-3</v>
      </c>
      <c r="D390" s="1">
        <f t="shared" si="24"/>
        <v>0.31796170341200097</v>
      </c>
      <c r="E390" s="1">
        <f>MAX(alpha*E391+(1+alpha)/2*(D390-D391),0)</f>
        <v>3.93194647154404E-2</v>
      </c>
      <c r="F390" s="1">
        <f t="shared" si="25"/>
        <v>0.27864223869656057</v>
      </c>
      <c r="G390" s="1">
        <f>MAX(alpha*G389+(1+alpha)/2*(F390-F389),0)</f>
        <v>0</v>
      </c>
      <c r="H390" s="1">
        <f t="shared" si="26"/>
        <v>0.27864223869656057</v>
      </c>
    </row>
    <row r="391" spans="1:8" x14ac:dyDescent="0.35">
      <c r="A391" s="3">
        <f t="shared" si="23"/>
        <v>44189</v>
      </c>
      <c r="B391" s="1">
        <v>0.30276260261793558</v>
      </c>
      <c r="C391" s="1">
        <f>MAX(alpha*C390+(1+alpha)/2*(B391-B390),0)</f>
        <v>0</v>
      </c>
      <c r="D391" s="1">
        <f t="shared" si="24"/>
        <v>0.30276260261793558</v>
      </c>
      <c r="E391" s="1">
        <f>MAX(alpha*E392+(1+alpha)/2*(D391-D392),0)</f>
        <v>2.6692248866110765E-2</v>
      </c>
      <c r="F391" s="1">
        <f t="shared" si="25"/>
        <v>0.27607035375182482</v>
      </c>
      <c r="G391" s="1">
        <f>MAX(alpha*G390+(1+alpha)/2*(F391-F390),0)</f>
        <v>0</v>
      </c>
      <c r="H391" s="1">
        <f t="shared" si="26"/>
        <v>0.27607035375182482</v>
      </c>
    </row>
    <row r="392" spans="1:8" x14ac:dyDescent="0.35">
      <c r="A392" s="3">
        <f t="shared" si="23"/>
        <v>44190</v>
      </c>
      <c r="B392" s="1">
        <v>0.27503039600379453</v>
      </c>
      <c r="C392" s="1">
        <f>MAX(alpha*C391+(1+alpha)/2*(B392-B391),0)</f>
        <v>0</v>
      </c>
      <c r="D392" s="1">
        <f t="shared" si="24"/>
        <v>0.27503039600379453</v>
      </c>
      <c r="E392" s="1">
        <f>MAX(alpha*E393+(1+alpha)/2*(D392-D393),0)</f>
        <v>0</v>
      </c>
      <c r="F392" s="1">
        <f t="shared" si="25"/>
        <v>0.27503039600379453</v>
      </c>
      <c r="G392" s="1">
        <f>MAX(alpha*G391+(1+alpha)/2*(F392-F391),0)</f>
        <v>0</v>
      </c>
      <c r="H392" s="1">
        <f t="shared" si="26"/>
        <v>0.27503039600379453</v>
      </c>
    </row>
    <row r="393" spans="1:8" x14ac:dyDescent="0.35">
      <c r="A393" s="4">
        <v>44189</v>
      </c>
      <c r="B393" s="2">
        <v>0.30276260261793558</v>
      </c>
      <c r="C393" s="1">
        <f>MAX(alpha*C392+(1+alpha)/2*(B393-B392),0)</f>
        <v>2.6692248866110765E-2</v>
      </c>
      <c r="D393" s="1">
        <f t="shared" si="24"/>
        <v>0.27607035375182482</v>
      </c>
      <c r="E393" s="1">
        <f>MAX(alpha*E394+(1+alpha)/2*(D393-D394),0)</f>
        <v>0</v>
      </c>
      <c r="F393" s="1">
        <f t="shared" si="25"/>
        <v>0.27607035375182482</v>
      </c>
      <c r="G393" s="1">
        <f>MAX(alpha*G392+(1+alpha)/2*(F393-F392),0)</f>
        <v>1.0009593324791491E-3</v>
      </c>
      <c r="H393" s="1">
        <f t="shared" si="26"/>
        <v>0.27506939441934569</v>
      </c>
    </row>
    <row r="394" spans="1:8" x14ac:dyDescent="0.35">
      <c r="A394" s="4">
        <v>44188</v>
      </c>
      <c r="B394" s="2">
        <v>0.32599420610084623</v>
      </c>
      <c r="C394" s="1">
        <f>MAX(alpha*C393+(1+alpha)/2*(B394-B393),0)</f>
        <v>4.7050748553453953E-2</v>
      </c>
      <c r="D394" s="1">
        <f t="shared" si="24"/>
        <v>0.27894345754739225</v>
      </c>
      <c r="E394" s="1">
        <f>MAX(alpha*E395+(1+alpha)/2*(D394-D395),0)</f>
        <v>0</v>
      </c>
      <c r="F394" s="1">
        <f t="shared" si="25"/>
        <v>0.27894345754739225</v>
      </c>
      <c r="G394" s="1">
        <f>MAX(alpha*G393+(1+alpha)/2*(F394-F393),0)</f>
        <v>3.6912497857768678E-3</v>
      </c>
      <c r="H394" s="1">
        <f t="shared" si="26"/>
        <v>0.27525220776161541</v>
      </c>
    </row>
    <row r="395" spans="1:8" x14ac:dyDescent="0.35">
      <c r="A395" s="4">
        <v>44187</v>
      </c>
      <c r="B395" s="2">
        <v>0.31764874876178623</v>
      </c>
      <c r="C395" s="1">
        <f>MAX(alpha*C394+(1+alpha)/2*(B395-B394),0)</f>
        <v>3.5489439723099654E-2</v>
      </c>
      <c r="D395" s="1">
        <f t="shared" si="24"/>
        <v>0.28215930903868658</v>
      </c>
      <c r="E395" s="1">
        <f>MAX(alpha*E396+(1+alpha)/2*(D395-D396),0)</f>
        <v>0</v>
      </c>
      <c r="F395" s="1">
        <f t="shared" si="25"/>
        <v>0.28215930903868658</v>
      </c>
      <c r="G395" s="1">
        <f>MAX(alpha*G394+(1+alpha)/2*(F395-F394),0)</f>
        <v>6.5096631122143964E-3</v>
      </c>
      <c r="H395" s="1">
        <f t="shared" si="26"/>
        <v>0.27564964592647218</v>
      </c>
    </row>
    <row r="396" spans="1:8" x14ac:dyDescent="0.35">
      <c r="A396" s="4">
        <v>44186</v>
      </c>
      <c r="B396" s="2">
        <v>0.3245401853015672</v>
      </c>
      <c r="C396" s="1">
        <f>MAX(alpha*C395+(1+alpha)/2*(B396-B395),0)</f>
        <v>3.9460739413406366E-2</v>
      </c>
      <c r="D396" s="1">
        <f t="shared" si="24"/>
        <v>0.28507944588816081</v>
      </c>
      <c r="E396" s="1">
        <f>MAX(alpha*E397+(1+alpha)/2*(D396-D397),0)</f>
        <v>0</v>
      </c>
      <c r="F396" s="1">
        <f t="shared" si="25"/>
        <v>0.28507944588816081</v>
      </c>
      <c r="G396" s="1">
        <f>MAX(alpha*G395+(1+alpha)/2*(F396-F395),0)</f>
        <v>8.832070096417264E-3</v>
      </c>
      <c r="H396" s="1">
        <f t="shared" si="26"/>
        <v>0.27624737579174352</v>
      </c>
    </row>
    <row r="397" spans="1:8" x14ac:dyDescent="0.35">
      <c r="A397" s="4">
        <v>44185</v>
      </c>
      <c r="B397" s="2">
        <v>0.34583177892502498</v>
      </c>
      <c r="C397" s="1">
        <f>MAX(alpha*C396+(1+alpha)/2*(B397-B396),0)</f>
        <v>5.6994342819979005E-2</v>
      </c>
      <c r="D397" s="1">
        <f t="shared" si="24"/>
        <v>0.28883743610504597</v>
      </c>
      <c r="E397" s="1">
        <f>MAX(alpha*E398+(1+alpha)/2*(D397-D398),0)</f>
        <v>0</v>
      </c>
      <c r="F397" s="1">
        <f t="shared" si="25"/>
        <v>0.28883743610504597</v>
      </c>
      <c r="G397" s="1">
        <f>MAX(alpha*G396+(1+alpha)/2*(F397-F396),0)</f>
        <v>1.178673042293794E-2</v>
      </c>
      <c r="H397" s="1">
        <f t="shared" si="26"/>
        <v>0.27705070568210804</v>
      </c>
    </row>
    <row r="398" spans="1:8" x14ac:dyDescent="0.35">
      <c r="A398" s="4">
        <v>44184</v>
      </c>
      <c r="B398" s="2">
        <v>0.35218165211293789</v>
      </c>
      <c r="C398" s="1">
        <f>MAX(alpha*C397+(1+alpha)/2*(B398-B397),0)</f>
        <v>5.8831520051846761E-2</v>
      </c>
      <c r="D398" s="1">
        <f t="shared" si="24"/>
        <v>0.29335013206109112</v>
      </c>
      <c r="E398" s="1">
        <f>MAX(alpha*E399+(1+alpha)/2*(D398-D399),0)</f>
        <v>0</v>
      </c>
      <c r="F398" s="1">
        <f t="shared" si="25"/>
        <v>0.29335013206109112</v>
      </c>
      <c r="G398" s="1">
        <f>MAX(alpha*G397+(1+alpha)/2*(F398-F397),0)</f>
        <v>1.5246195498911045E-2</v>
      </c>
      <c r="H398" s="1">
        <f t="shared" si="26"/>
        <v>0.27810393656218008</v>
      </c>
    </row>
    <row r="399" spans="1:8" x14ac:dyDescent="0.35">
      <c r="A399" s="4">
        <v>44183</v>
      </c>
      <c r="B399" s="2">
        <v>0.35763424662213034</v>
      </c>
      <c r="C399" s="1">
        <f>MAX(alpha*C398+(1+alpha)/2*(B399-B398),0)</f>
        <v>5.9667278263055984E-2</v>
      </c>
      <c r="D399" s="1">
        <f t="shared" si="24"/>
        <v>0.29796696835907432</v>
      </c>
      <c r="E399" s="1">
        <f>MAX(alpha*E400+(1+alpha)/2*(D399-D400),0)</f>
        <v>0</v>
      </c>
      <c r="F399" s="1">
        <f t="shared" si="25"/>
        <v>0.29796696835907432</v>
      </c>
      <c r="G399" s="1">
        <f>MAX(alpha*G398+(1+alpha)/2*(F399-F398),0)</f>
        <v>1.8546435773301555E-2</v>
      </c>
      <c r="H399" s="1">
        <f t="shared" si="26"/>
        <v>0.27942053258577276</v>
      </c>
    </row>
    <row r="400" spans="1:8" x14ac:dyDescent="0.35">
      <c r="A400" s="4">
        <v>44182</v>
      </c>
      <c r="B400" s="2">
        <v>0.39787493600212986</v>
      </c>
      <c r="C400" s="1">
        <f>MAX(alpha*C399+(1+alpha)/2*(B400-B399),0)</f>
        <v>9.3923895921576336E-2</v>
      </c>
      <c r="D400" s="1">
        <f t="shared" si="24"/>
        <v>0.30395104008055351</v>
      </c>
      <c r="E400" s="1">
        <f>MAX(alpha*E401+(1+alpha)/2*(D400-D401),0)</f>
        <v>1.7813366549561394E-4</v>
      </c>
      <c r="F400" s="1">
        <f t="shared" si="25"/>
        <v>0.30377290641505789</v>
      </c>
      <c r="G400" s="1">
        <f>MAX(alpha*G399+(1+alpha)/2*(F400-F399),0)</f>
        <v>2.2743668469188117E-2</v>
      </c>
      <c r="H400" s="1">
        <f t="shared" si="26"/>
        <v>0.28102923794586976</v>
      </c>
    </row>
    <row r="401" spans="1:8" x14ac:dyDescent="0.35">
      <c r="A401" s="4">
        <v>44181</v>
      </c>
      <c r="B401" s="2">
        <v>0.44506123255176316</v>
      </c>
      <c r="C401" s="1">
        <f>MAX(alpha*C400+(1+alpha)/2*(B401-B400),0)</f>
        <v>0.13229641415648016</v>
      </c>
      <c r="D401" s="1">
        <f t="shared" si="24"/>
        <v>0.31276481839528303</v>
      </c>
      <c r="E401" s="1">
        <f>MAX(alpha*E402+(1+alpha)/2*(D401-D402),0)</f>
        <v>9.363670587484078E-3</v>
      </c>
      <c r="F401" s="1">
        <f t="shared" si="25"/>
        <v>0.30340114780779898</v>
      </c>
      <c r="G401" s="1">
        <f>MAX(alpha*G400+(1+alpha)/2*(F401-F400),0)</f>
        <v>2.068007567451231E-2</v>
      </c>
      <c r="H401" s="1">
        <f t="shared" si="26"/>
        <v>0.28272107213328668</v>
      </c>
    </row>
    <row r="402" spans="1:8" x14ac:dyDescent="0.35">
      <c r="A402" s="4">
        <v>44180</v>
      </c>
      <c r="B402" s="2">
        <v>0.49526365789205268</v>
      </c>
      <c r="C402" s="1">
        <f>MAX(alpha*C401+(1+alpha)/2*(B402-B401),0)</f>
        <v>0.17069401748477281</v>
      </c>
      <c r="D402" s="1">
        <f t="shared" si="24"/>
        <v>0.32456964040727987</v>
      </c>
      <c r="E402" s="1">
        <f>MAX(alpha*E403+(1+alpha)/2*(D402-D403),0)</f>
        <v>2.2406282998952472E-2</v>
      </c>
      <c r="F402" s="1">
        <f t="shared" si="25"/>
        <v>0.30216335740832739</v>
      </c>
      <c r="G402" s="1">
        <f>MAX(alpha*G401+(1+alpha)/2*(F402-F401),0)</f>
        <v>1.7937696739432487E-2</v>
      </c>
      <c r="H402" s="1">
        <f t="shared" si="26"/>
        <v>0.28422566066889493</v>
      </c>
    </row>
    <row r="403" spans="1:8" x14ac:dyDescent="0.35">
      <c r="A403" s="4">
        <v>44179</v>
      </c>
      <c r="B403" s="2">
        <v>0.6934728982286007</v>
      </c>
      <c r="C403" s="1">
        <f>MAX(alpha*C402+(1+alpha)/2*(B403-B402),0)</f>
        <v>0.34866835999734236</v>
      </c>
      <c r="D403" s="1">
        <f t="shared" si="24"/>
        <v>0.34480453823125834</v>
      </c>
      <c r="E403" s="1">
        <f>MAX(alpha*E404+(1+alpha)/2*(D403-D404),0)</f>
        <v>4.5278240167061348E-2</v>
      </c>
      <c r="F403" s="1">
        <f t="shared" si="25"/>
        <v>0.29952629806419701</v>
      </c>
      <c r="G403" s="1">
        <f>MAX(alpha*G402+(1+alpha)/2*(F403-F402),0)</f>
        <v>1.4054199865249552E-2</v>
      </c>
      <c r="H403" s="1">
        <f t="shared" si="26"/>
        <v>0.28547209819894748</v>
      </c>
    </row>
    <row r="404" spans="1:8" x14ac:dyDescent="0.35">
      <c r="A404" s="4">
        <v>44178</v>
      </c>
      <c r="B404" s="2">
        <v>0.95381117274173999</v>
      </c>
      <c r="C404" s="1">
        <f>MAX(alpha*C403+(1+alpha)/2*(B404-B403),0)</f>
        <v>0.57309382221643823</v>
      </c>
      <c r="D404" s="1">
        <f t="shared" si="24"/>
        <v>0.38071735052530176</v>
      </c>
      <c r="E404" s="1">
        <f>MAX(alpha*E405+(1+alpha)/2*(D404-D405),0)</f>
        <v>8.6318185946030412E-2</v>
      </c>
      <c r="F404" s="1">
        <f t="shared" si="25"/>
        <v>0.29439916457927134</v>
      </c>
      <c r="G404" s="1">
        <f>MAX(alpha*G403+(1+alpha)/2*(F404-F403),0)</f>
        <v>8.0652688961148876E-3</v>
      </c>
      <c r="H404" s="1">
        <f t="shared" si="26"/>
        <v>0.28633389568315648</v>
      </c>
    </row>
    <row r="405" spans="1:8" x14ac:dyDescent="0.35">
      <c r="A405" s="4">
        <v>44177</v>
      </c>
      <c r="B405" s="2">
        <v>1.6420432814931445</v>
      </c>
      <c r="C405" s="1">
        <f>MAX(alpha*C404+(1+alpha)/2*(B405-B404),0)</f>
        <v>1.1925351902234322</v>
      </c>
      <c r="D405" s="1">
        <f t="shared" si="24"/>
        <v>0.44950809126971225</v>
      </c>
      <c r="E405" s="1">
        <f>MAX(alpha*E406+(1+alpha)/2*(D405-D406),0)</f>
        <v>0.16489651233786543</v>
      </c>
      <c r="F405" s="1">
        <f t="shared" si="25"/>
        <v>0.28461157893184685</v>
      </c>
      <c r="G405" s="1">
        <f>MAX(alpha*G404+(1+alpha)/2*(F405-F404),0)</f>
        <v>0</v>
      </c>
      <c r="H405" s="1">
        <f t="shared" si="26"/>
        <v>0.28461157893184685</v>
      </c>
    </row>
    <row r="406" spans="1:8" x14ac:dyDescent="0.35">
      <c r="A406" s="4">
        <v>44176</v>
      </c>
      <c r="B406" s="2">
        <v>0.37661694233124798</v>
      </c>
      <c r="C406" s="1">
        <f>MAX(alpha*C405+(1+alpha)/2*(B406-B405),0)</f>
        <v>0</v>
      </c>
      <c r="D406" s="1">
        <f t="shared" si="24"/>
        <v>0.37661694233124798</v>
      </c>
      <c r="E406" s="1">
        <f>MAX(alpha*E407+(1+alpha)/2*(D406-D407),0)</f>
        <v>0.10242030430766871</v>
      </c>
      <c r="F406" s="1">
        <f t="shared" si="25"/>
        <v>0.2741966380235793</v>
      </c>
      <c r="G406" s="1">
        <f>MAX(alpha*G405+(1+alpha)/2*(F406-F405),0)</f>
        <v>0</v>
      </c>
      <c r="H406" s="1">
        <f t="shared" si="26"/>
        <v>0.2741966380235793</v>
      </c>
    </row>
    <row r="407" spans="1:8" x14ac:dyDescent="0.35">
      <c r="A407" s="4">
        <v>44175</v>
      </c>
      <c r="B407" s="2">
        <v>0.27020623655704673</v>
      </c>
      <c r="C407" s="1">
        <f>MAX(alpha*C406+(1+alpha)/2*(B407-B406),0)</f>
        <v>0</v>
      </c>
      <c r="D407" s="1">
        <f t="shared" si="24"/>
        <v>0.27020623655704673</v>
      </c>
      <c r="E407" s="1">
        <f>MAX(alpha*E408+(1+alpha)/2*(D407-D408),0)</f>
        <v>0</v>
      </c>
      <c r="F407" s="1">
        <f t="shared" si="25"/>
        <v>0.27020623655704673</v>
      </c>
      <c r="G407" s="1">
        <f>MAX(alpha*G406+(1+alpha)/2*(F407-F406),0)</f>
        <v>0</v>
      </c>
      <c r="H407" s="1">
        <f t="shared" si="26"/>
        <v>0.27020623655704673</v>
      </c>
    </row>
    <row r="408" spans="1:8" x14ac:dyDescent="0.35">
      <c r="A408" s="4">
        <v>44174</v>
      </c>
      <c r="B408" s="2">
        <v>0.27123865962116339</v>
      </c>
      <c r="C408" s="1">
        <f>MAX(alpha*C407+(1+alpha)/2*(B408-B407),0)</f>
        <v>9.9370719921228613E-4</v>
      </c>
      <c r="D408" s="1">
        <f t="shared" si="24"/>
        <v>0.27024495242195112</v>
      </c>
      <c r="E408" s="1">
        <f>MAX(alpha*E409+(1+alpha)/2*(D408-D409),0)</f>
        <v>0</v>
      </c>
      <c r="F408" s="1">
        <f t="shared" si="25"/>
        <v>0.27024495242195112</v>
      </c>
      <c r="G408" s="1">
        <f>MAX(alpha*G407+(1+alpha)/2*(F408-F407),0)</f>
        <v>3.7264019970478099E-5</v>
      </c>
      <c r="H408" s="1">
        <f t="shared" si="26"/>
        <v>0.27020768840198067</v>
      </c>
    </row>
    <row r="409" spans="1:8" x14ac:dyDescent="0.35">
      <c r="A409" s="4">
        <v>44173</v>
      </c>
      <c r="B409" s="2">
        <v>0.28032351306021014</v>
      </c>
      <c r="C409" s="1">
        <f>MAX(alpha*C408+(1+alpha)/2*(B409-B408),0)</f>
        <v>9.6633505943538589E-3</v>
      </c>
      <c r="D409" s="1">
        <f t="shared" si="24"/>
        <v>0.27066016246585628</v>
      </c>
      <c r="E409" s="1">
        <f>MAX(alpha*E410+(1+alpha)/2*(D409-D410),0)</f>
        <v>0</v>
      </c>
      <c r="F409" s="1">
        <f t="shared" si="25"/>
        <v>0.27066016246585628</v>
      </c>
      <c r="G409" s="1">
        <f>MAX(alpha*G408+(1+alpha)/2*(F409-F408),0)</f>
        <v>4.3410888573140532E-4</v>
      </c>
      <c r="H409" s="1">
        <f t="shared" si="26"/>
        <v>0.27022605358012486</v>
      </c>
    </row>
    <row r="410" spans="1:8" x14ac:dyDescent="0.35">
      <c r="A410" s="4">
        <v>44172</v>
      </c>
      <c r="B410" s="2">
        <v>0.28285828225890525</v>
      </c>
      <c r="C410" s="1">
        <f>MAX(alpha*C409+(1+alpha)/2*(B410-B409),0)</f>
        <v>1.1378314653521361E-2</v>
      </c>
      <c r="D410" s="1">
        <f t="shared" si="24"/>
        <v>0.2714799676053839</v>
      </c>
      <c r="E410" s="1">
        <f>MAX(alpha*E411+(1+alpha)/2*(D410-D411),0)</f>
        <v>0</v>
      </c>
      <c r="F410" s="1">
        <f t="shared" si="25"/>
        <v>0.2714799676053839</v>
      </c>
      <c r="G410" s="1">
        <f>MAX(alpha*G409+(1+alpha)/2*(F410-F409),0)</f>
        <v>1.1906131660968829E-3</v>
      </c>
      <c r="H410" s="1">
        <f t="shared" si="26"/>
        <v>0.27028935443928703</v>
      </c>
    </row>
    <row r="411" spans="1:8" x14ac:dyDescent="0.35">
      <c r="A411" s="4">
        <v>44171</v>
      </c>
      <c r="B411" s="2">
        <v>0.29570558478844761</v>
      </c>
      <c r="C411" s="1">
        <f>MAX(alpha*C410+(1+alpha)/2*(B411-B410),0)</f>
        <v>2.2890469739191781E-2</v>
      </c>
      <c r="D411" s="1">
        <f t="shared" si="24"/>
        <v>0.27281511504925582</v>
      </c>
      <c r="E411" s="1">
        <f>MAX(alpha*E412+(1+alpha)/2*(D411-D412),0)</f>
        <v>0</v>
      </c>
      <c r="F411" s="1">
        <f t="shared" si="25"/>
        <v>0.27281511504925582</v>
      </c>
      <c r="G411" s="1">
        <f>MAX(alpha*G410+(1+alpha)/2*(F411-F410),0)</f>
        <v>2.3863965933663398E-3</v>
      </c>
      <c r="H411" s="1">
        <f t="shared" si="26"/>
        <v>0.27042871845588951</v>
      </c>
    </row>
    <row r="412" spans="1:8" x14ac:dyDescent="0.35">
      <c r="A412" s="4">
        <v>44170</v>
      </c>
      <c r="B412" s="2">
        <v>0.29954356651120106</v>
      </c>
      <c r="C412" s="1">
        <f>MAX(alpha*C411+(1+alpha)/2*(B412-B411),0)</f>
        <v>2.4867741916902605E-2</v>
      </c>
      <c r="D412" s="1">
        <f t="shared" si="24"/>
        <v>0.27467582459429846</v>
      </c>
      <c r="E412" s="1">
        <f>MAX(alpha*E413+(1+alpha)/2*(D412-D413),0)</f>
        <v>0</v>
      </c>
      <c r="F412" s="1">
        <f t="shared" si="25"/>
        <v>0.27467582459429846</v>
      </c>
      <c r="G412" s="1">
        <f>MAX(alpha*G411+(1+alpha)/2*(F412-F411),0)</f>
        <v>3.998349785967404E-3</v>
      </c>
      <c r="H412" s="1">
        <f t="shared" si="26"/>
        <v>0.27067747480833104</v>
      </c>
    </row>
    <row r="413" spans="1:8" x14ac:dyDescent="0.35">
      <c r="A413" s="4">
        <v>44169</v>
      </c>
      <c r="B413" s="2">
        <v>0.30484142829225264</v>
      </c>
      <c r="C413" s="1">
        <f>MAX(alpha*C412+(1+alpha)/2*(B413-B412),0)</f>
        <v>2.8101853237397049E-2</v>
      </c>
      <c r="D413" s="1">
        <f t="shared" si="24"/>
        <v>0.27673957505485558</v>
      </c>
      <c r="E413" s="1">
        <f>MAX(alpha*E414+(1+alpha)/2*(D413-D414),0)</f>
        <v>0</v>
      </c>
      <c r="F413" s="1">
        <f t="shared" si="25"/>
        <v>0.27673957505485558</v>
      </c>
      <c r="G413" s="1">
        <f>MAX(alpha*G412+(1+alpha)/2*(F413-F412),0)</f>
        <v>5.6848333703060803E-3</v>
      </c>
      <c r="H413" s="1">
        <f t="shared" si="26"/>
        <v>0.27105474168454952</v>
      </c>
    </row>
    <row r="414" spans="1:8" x14ac:dyDescent="0.35">
      <c r="A414" s="4">
        <v>44168</v>
      </c>
      <c r="B414" s="2">
        <v>0.29971773686037967</v>
      </c>
      <c r="C414" s="1">
        <f>MAX(alpha*C413+(1+alpha)/2*(B414-B413),0)</f>
        <v>2.1062661241414541E-2</v>
      </c>
      <c r="D414" s="1">
        <f t="shared" si="24"/>
        <v>0.27865507561896513</v>
      </c>
      <c r="E414" s="1">
        <f>MAX(alpha*E415+(1+alpha)/2*(D414-D415),0)</f>
        <v>0</v>
      </c>
      <c r="F414" s="1">
        <f t="shared" si="25"/>
        <v>0.27865507561896513</v>
      </c>
      <c r="G414" s="1">
        <f>MAX(alpha*G413+(1+alpha)/2*(F414-F413),0)</f>
        <v>7.1021401604885676E-3</v>
      </c>
      <c r="H414" s="1">
        <f t="shared" si="26"/>
        <v>0.27155293545847659</v>
      </c>
    </row>
    <row r="415" spans="1:8" x14ac:dyDescent="0.35">
      <c r="A415" s="4">
        <v>44167</v>
      </c>
      <c r="B415" s="2">
        <v>0.31957792238571442</v>
      </c>
      <c r="C415" s="1">
        <f>MAX(alpha*C414+(1+alpha)/2*(B415-B414),0)</f>
        <v>3.8598390216443151E-2</v>
      </c>
      <c r="D415" s="1">
        <f t="shared" si="24"/>
        <v>0.2809795321692713</v>
      </c>
      <c r="E415" s="1">
        <f>MAX(alpha*E416+(1+alpha)/2*(D415-D416),0)</f>
        <v>0</v>
      </c>
      <c r="F415" s="1">
        <f t="shared" si="25"/>
        <v>0.2809795321692713</v>
      </c>
      <c r="G415" s="1">
        <f>MAX(alpha*G414+(1+alpha)/2*(F415-F414),0)</f>
        <v>8.8067690781216089E-3</v>
      </c>
      <c r="H415" s="1">
        <f t="shared" si="26"/>
        <v>0.27217276309114968</v>
      </c>
    </row>
    <row r="416" spans="1:8" x14ac:dyDescent="0.35">
      <c r="A416" s="4">
        <v>44166</v>
      </c>
      <c r="B416" s="2">
        <v>0.32620370997277448</v>
      </c>
      <c r="C416" s="1">
        <f>MAX(alpha*C415+(1+alpha)/2*(B416-B415),0)</f>
        <v>4.2080831502755225E-2</v>
      </c>
      <c r="D416" s="1">
        <f t="shared" si="24"/>
        <v>0.28412287847001927</v>
      </c>
      <c r="E416" s="1">
        <f>MAX(alpha*E417+(1+alpha)/2*(D416-D417),0)</f>
        <v>0</v>
      </c>
      <c r="F416" s="1">
        <f t="shared" si="25"/>
        <v>0.28412287847001927</v>
      </c>
      <c r="G416" s="1">
        <f>MAX(alpha*G415+(1+alpha)/2*(F416-F415),0)</f>
        <v>1.1171732211732413E-2</v>
      </c>
      <c r="H416" s="1">
        <f t="shared" si="26"/>
        <v>0.27295114625828687</v>
      </c>
    </row>
    <row r="417" spans="1:8" x14ac:dyDescent="0.35">
      <c r="A417" s="4">
        <v>44165</v>
      </c>
      <c r="B417" s="2">
        <v>0.3476555135050175</v>
      </c>
      <c r="C417" s="1">
        <f>MAX(alpha*C416+(1+alpha)/2*(B417-B416),0)</f>
        <v>5.9572130039832499E-2</v>
      </c>
      <c r="D417" s="1">
        <f t="shared" si="24"/>
        <v>0.28808338346518503</v>
      </c>
      <c r="E417" s="1">
        <f>MAX(alpha*E418+(1+alpha)/2*(D417-D418),0)</f>
        <v>0</v>
      </c>
      <c r="F417" s="1">
        <f t="shared" si="25"/>
        <v>0.28808338346518503</v>
      </c>
      <c r="G417" s="1">
        <f>MAX(alpha*G416+(1+alpha)/2*(F417-F416),0)</f>
        <v>1.4145838353699525E-2</v>
      </c>
      <c r="H417" s="1">
        <f t="shared" si="26"/>
        <v>0.27393754511148549</v>
      </c>
    </row>
    <row r="418" spans="1:8" x14ac:dyDescent="0.35">
      <c r="A418" s="4">
        <v>44164</v>
      </c>
      <c r="B418" s="2">
        <v>0.39035248607774159</v>
      </c>
      <c r="C418" s="1">
        <f>MAX(alpha*C417+(1+alpha)/2*(B418-B417),0)</f>
        <v>9.6200056388092009E-2</v>
      </c>
      <c r="D418" s="1">
        <f t="shared" si="24"/>
        <v>0.29415242968964961</v>
      </c>
      <c r="E418" s="1">
        <f>MAX(alpha*E419+(1+alpha)/2*(D418-D419),0)</f>
        <v>0</v>
      </c>
      <c r="F418" s="1">
        <f t="shared" si="25"/>
        <v>0.29415242968964961</v>
      </c>
      <c r="G418" s="1">
        <f>MAX(alpha*G417+(1+alpha)/2*(F418-F417),0)</f>
        <v>1.8926357468219222E-2</v>
      </c>
      <c r="H418" s="1">
        <f t="shared" si="26"/>
        <v>0.27522607222143036</v>
      </c>
    </row>
    <row r="419" spans="1:8" x14ac:dyDescent="0.35">
      <c r="A419" s="4">
        <v>44163</v>
      </c>
      <c r="B419" s="2">
        <v>0.45350215392969129</v>
      </c>
      <c r="C419" s="1">
        <f>MAX(alpha*C418+(1+alpha)/2*(B419-B418),0)</f>
        <v>0.14976660746648671</v>
      </c>
      <c r="D419" s="1">
        <f t="shared" si="24"/>
        <v>0.30373554646320455</v>
      </c>
      <c r="E419" s="1">
        <f>MAX(alpha*E420+(1+alpha)/2*(D419-D420),0)</f>
        <v>0</v>
      </c>
      <c r="F419" s="1">
        <f t="shared" si="25"/>
        <v>0.30373554646320455</v>
      </c>
      <c r="G419" s="1">
        <f>MAX(alpha*G418+(1+alpha)/2*(F419-F418),0)</f>
        <v>2.6730630552649414E-2</v>
      </c>
      <c r="H419" s="1">
        <f t="shared" si="26"/>
        <v>0.27700491591055515</v>
      </c>
    </row>
    <row r="420" spans="1:8" x14ac:dyDescent="0.35">
      <c r="A420" s="4">
        <v>44162</v>
      </c>
      <c r="B420" s="2">
        <v>0.60145555756188085</v>
      </c>
      <c r="C420" s="1">
        <f>MAX(alpha*C419+(1+alpha)/2*(B420-B419),0)</f>
        <v>0.28093926290248267</v>
      </c>
      <c r="D420" s="1">
        <f t="shared" si="24"/>
        <v>0.32051629465939818</v>
      </c>
      <c r="E420" s="1">
        <f>MAX(alpha*E421+(1+alpha)/2*(D420-D421),0)</f>
        <v>0</v>
      </c>
      <c r="F420" s="1">
        <f t="shared" si="25"/>
        <v>0.32051629465939818</v>
      </c>
      <c r="G420" s="1">
        <f>MAX(alpha*G419+(1+alpha)/2*(F420-F419),0)</f>
        <v>4.0877303400037077E-2</v>
      </c>
      <c r="H420" s="1">
        <f t="shared" si="26"/>
        <v>0.27963899125936109</v>
      </c>
    </row>
    <row r="421" spans="1:8" x14ac:dyDescent="0.35">
      <c r="A421" s="4">
        <v>44161</v>
      </c>
      <c r="B421" s="2">
        <v>0.90711113320091485</v>
      </c>
      <c r="C421" s="1">
        <f>MAX(alpha*C420+(1+alpha)/2*(B421-B420),0)</f>
        <v>0.5540623097373667</v>
      </c>
      <c r="D421" s="1">
        <f t="shared" si="24"/>
        <v>0.35304882346354816</v>
      </c>
      <c r="E421" s="2">
        <v>0</v>
      </c>
      <c r="F421" s="1">
        <f t="shared" si="25"/>
        <v>0.35304882346354816</v>
      </c>
      <c r="G421" s="1">
        <f>MAX(alpha*G420+(1+alpha)/2*(F421-F420),0)</f>
        <v>6.9124064619028647E-2</v>
      </c>
      <c r="H421" s="1">
        <f t="shared" si="26"/>
        <v>0.28392475884451951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BC6E-93B4-4193-A737-4468A8285767}">
  <dimension ref="A1:H421"/>
  <sheetViews>
    <sheetView zoomScale="110" zoomScaleNormal="110" workbookViewId="0">
      <pane ySplit="2" topLeftCell="A3" activePane="bottomLeft" state="frozen"/>
      <selection activeCell="B1" sqref="B1"/>
      <selection pane="bottomLeft" activeCell="C3" sqref="C3"/>
    </sheetView>
  </sheetViews>
  <sheetFormatPr defaultRowHeight="14.5" x14ac:dyDescent="0.35"/>
  <cols>
    <col min="1" max="2" width="13.1796875" customWidth="1"/>
    <col min="7" max="7" width="9.453125" bestFit="1" customWidth="1"/>
  </cols>
  <sheetData>
    <row r="1" spans="1:8" x14ac:dyDescent="0.35">
      <c r="A1" t="s">
        <v>4</v>
      </c>
      <c r="B1">
        <v>0.92500000000000004</v>
      </c>
      <c r="C1" t="s">
        <v>6</v>
      </c>
      <c r="E1" t="s">
        <v>7</v>
      </c>
      <c r="G1" t="s">
        <v>8</v>
      </c>
    </row>
    <row r="2" spans="1:8" x14ac:dyDescent="0.35">
      <c r="A2" t="s">
        <v>0</v>
      </c>
      <c r="B2" t="s">
        <v>1</v>
      </c>
      <c r="C2" t="s">
        <v>3</v>
      </c>
      <c r="D2" t="s">
        <v>5</v>
      </c>
      <c r="E2" t="s">
        <v>3</v>
      </c>
      <c r="F2" t="s">
        <v>5</v>
      </c>
      <c r="G2" t="s">
        <v>3</v>
      </c>
      <c r="H2" t="s">
        <v>5</v>
      </c>
    </row>
    <row r="3" spans="1:8" x14ac:dyDescent="0.35">
      <c r="A3" s="4">
        <v>43861</v>
      </c>
      <c r="B3" s="2">
        <v>0.57304656562056766</v>
      </c>
      <c r="C3" s="2">
        <v>0</v>
      </c>
      <c r="D3" s="1">
        <f>B3-MAX(0,C3)</f>
        <v>0.57304656562056766</v>
      </c>
      <c r="E3" s="1">
        <f t="shared" ref="E3:E66" si="0">alpha*E4+(1+alpha)/2*(D3-D4)</f>
        <v>2.2841516575095651E-4</v>
      </c>
      <c r="F3" s="1">
        <f>D3-MAX(0,E3)</f>
        <v>0.57281815045481665</v>
      </c>
      <c r="G3" s="2">
        <v>0</v>
      </c>
      <c r="H3" s="1">
        <f>F3-MAX(0,G3)</f>
        <v>0.57281815045481665</v>
      </c>
    </row>
    <row r="4" spans="1:8" x14ac:dyDescent="0.35">
      <c r="A4" s="4">
        <v>43860</v>
      </c>
      <c r="B4" s="2">
        <v>0.59985129294935591</v>
      </c>
      <c r="C4" s="1" cm="1">
        <f t="array" ref="C4">alpha*C3+(1+alpha)/2*(B4-B3)</f>
        <v>2.5799550053958689E-2</v>
      </c>
      <c r="D4" s="1">
        <f t="shared" ref="D4:H67" si="1">B4-MAX(0,C4)</f>
        <v>0.57405174289539718</v>
      </c>
      <c r="E4" s="1">
        <f t="shared" si="0"/>
        <v>1.2928630192155306E-3</v>
      </c>
      <c r="F4" s="1">
        <f t="shared" si="1"/>
        <v>0.57275887987618168</v>
      </c>
      <c r="G4" s="1">
        <f t="shared" ref="G4:G67" si="2">alpha*G3+(1+alpha)/2*(F4-F3)</f>
        <v>-5.7047931936161926E-5</v>
      </c>
      <c r="H4" s="1">
        <f t="shared" si="1"/>
        <v>0.57275887987618168</v>
      </c>
    </row>
    <row r="5" spans="1:8" x14ac:dyDescent="0.35">
      <c r="A5" s="4">
        <v>43859</v>
      </c>
      <c r="B5" s="2">
        <v>0.64696564994048178</v>
      </c>
      <c r="C5" s="1">
        <f t="shared" ref="C5:C68" si="3">alpha*C4+(1+alpha)/2*(B5-B4)</f>
        <v>6.9212152403870436E-2</v>
      </c>
      <c r="D5" s="1">
        <f t="shared" si="1"/>
        <v>0.57775349753661132</v>
      </c>
      <c r="E5" s="1">
        <f t="shared" si="0"/>
        <v>5.2495155258206905E-3</v>
      </c>
      <c r="F5" s="1">
        <f t="shared" si="1"/>
        <v>0.57250398201079067</v>
      </c>
      <c r="G5" s="1">
        <f t="shared" si="2"/>
        <v>-2.9810853247979956E-4</v>
      </c>
      <c r="H5" s="1">
        <f t="shared" si="1"/>
        <v>0.57250398201079067</v>
      </c>
    </row>
    <row r="6" spans="1:8" x14ac:dyDescent="0.35">
      <c r="A6" s="4">
        <v>43858</v>
      </c>
      <c r="B6" s="2">
        <v>0.70436871118050226</v>
      </c>
      <c r="C6" s="1">
        <f t="shared" si="3"/>
        <v>0.11927168741709987</v>
      </c>
      <c r="D6" s="1">
        <f t="shared" si="1"/>
        <v>0.58509702376340234</v>
      </c>
      <c r="E6" s="1">
        <f t="shared" si="0"/>
        <v>1.3316388669304915E-2</v>
      </c>
      <c r="F6" s="1">
        <f t="shared" si="1"/>
        <v>0.57178063509409738</v>
      </c>
      <c r="G6" s="1">
        <f t="shared" si="2"/>
        <v>-9.7197179986110668E-4</v>
      </c>
      <c r="H6" s="1">
        <f t="shared" si="1"/>
        <v>0.57178063509409738</v>
      </c>
    </row>
    <row r="7" spans="1:8" x14ac:dyDescent="0.35">
      <c r="A7" s="4">
        <v>43857</v>
      </c>
      <c r="B7" s="2">
        <v>0.78415227691585165</v>
      </c>
      <c r="C7" s="1">
        <f t="shared" si="3"/>
        <v>0.18711799288109118</v>
      </c>
      <c r="D7" s="1">
        <f t="shared" si="1"/>
        <v>0.59703428403476044</v>
      </c>
      <c r="E7" s="1">
        <f t="shared" si="0"/>
        <v>2.68172991140401E-2</v>
      </c>
      <c r="F7" s="1">
        <f t="shared" si="1"/>
        <v>0.57021698492072037</v>
      </c>
      <c r="G7" s="1">
        <f t="shared" si="2"/>
        <v>-2.4040872067468931E-3</v>
      </c>
      <c r="H7" s="1">
        <f t="shared" si="1"/>
        <v>0.57021698492072037</v>
      </c>
    </row>
    <row r="8" spans="1:8" x14ac:dyDescent="0.35">
      <c r="A8" s="4">
        <v>43856</v>
      </c>
      <c r="B8" s="2">
        <v>0.86305789450232784</v>
      </c>
      <c r="C8" s="1">
        <f t="shared" si="3"/>
        <v>0.24903080034199268</v>
      </c>
      <c r="D8" s="1">
        <f t="shared" si="1"/>
        <v>0.61402709416033519</v>
      </c>
      <c r="E8" s="1">
        <f t="shared" si="0"/>
        <v>4.6673382551249504E-2</v>
      </c>
      <c r="F8" s="1">
        <f t="shared" si="1"/>
        <v>0.56735371160908565</v>
      </c>
      <c r="G8" s="1">
        <f t="shared" si="2"/>
        <v>-4.979681228689292E-3</v>
      </c>
      <c r="H8" s="1">
        <f t="shared" si="1"/>
        <v>0.56735371160908565</v>
      </c>
    </row>
    <row r="9" spans="1:8" x14ac:dyDescent="0.35">
      <c r="A9" s="4">
        <v>43855</v>
      </c>
      <c r="B9" s="2">
        <v>0.87360986370156335</v>
      </c>
      <c r="C9" s="1">
        <f t="shared" si="3"/>
        <v>0.24050976067060742</v>
      </c>
      <c r="D9" s="1">
        <f t="shared" si="1"/>
        <v>0.63310010303095599</v>
      </c>
      <c r="E9" s="1">
        <f t="shared" si="0"/>
        <v>7.0303949826185971E-2</v>
      </c>
      <c r="F9" s="1">
        <f t="shared" si="1"/>
        <v>0.56279615320477006</v>
      </c>
      <c r="G9" s="1">
        <f t="shared" si="2"/>
        <v>-8.992855100691359E-3</v>
      </c>
      <c r="H9" s="1">
        <f t="shared" si="1"/>
        <v>0.56279615320477006</v>
      </c>
    </row>
    <row r="10" spans="1:8" x14ac:dyDescent="0.35">
      <c r="A10" s="4">
        <v>43854</v>
      </c>
      <c r="B10" s="2">
        <v>0.76050112180332452</v>
      </c>
      <c r="C10" s="1">
        <f t="shared" si="3"/>
        <v>0.11360436454325701</v>
      </c>
      <c r="D10" s="1">
        <f t="shared" si="1"/>
        <v>0.64689675726006746</v>
      </c>
      <c r="E10" s="1">
        <f t="shared" si="0"/>
        <v>9.0360248131573784E-2</v>
      </c>
      <c r="F10" s="1">
        <f t="shared" si="1"/>
        <v>0.55653650912849373</v>
      </c>
      <c r="G10" s="1">
        <f t="shared" si="2"/>
        <v>-1.4343298391555473E-2</v>
      </c>
      <c r="H10" s="1">
        <f t="shared" si="1"/>
        <v>0.55653650912849373</v>
      </c>
    </row>
    <row r="11" spans="1:8" x14ac:dyDescent="0.35">
      <c r="A11" s="4">
        <v>43853</v>
      </c>
      <c r="B11" s="2">
        <v>0.46738558510500189</v>
      </c>
      <c r="C11" s="1">
        <f t="shared" si="3"/>
        <v>-0.1770396668696228</v>
      </c>
      <c r="D11" s="1">
        <f t="shared" si="1"/>
        <v>0.46738558510500189</v>
      </c>
      <c r="E11" s="1">
        <f t="shared" si="0"/>
        <v>-8.9101897370461439E-2</v>
      </c>
      <c r="F11" s="1">
        <f t="shared" si="1"/>
        <v>0.46738558510500189</v>
      </c>
      <c r="G11" s="1">
        <f t="shared" si="2"/>
        <v>-9.9075315384799703E-2</v>
      </c>
      <c r="H11" s="1">
        <f t="shared" si="1"/>
        <v>0.46738558510500189</v>
      </c>
    </row>
    <row r="12" spans="1:8" x14ac:dyDescent="0.35">
      <c r="A12" s="4">
        <v>43852</v>
      </c>
      <c r="B12" s="2">
        <v>0.44284880849640934</v>
      </c>
      <c r="C12" s="1">
        <f t="shared" si="3"/>
        <v>-0.18737833934017142</v>
      </c>
      <c r="D12" s="1">
        <f t="shared" si="1"/>
        <v>0.44284880849640934</v>
      </c>
      <c r="E12" s="1">
        <f t="shared" si="0"/>
        <v>-0.12185788633106137</v>
      </c>
      <c r="F12" s="1">
        <f t="shared" si="1"/>
        <v>0.44284880849640934</v>
      </c>
      <c r="G12" s="1">
        <f t="shared" si="2"/>
        <v>-0.11526131421671006</v>
      </c>
      <c r="H12" s="1">
        <f t="shared" si="1"/>
        <v>0.44284880849640934</v>
      </c>
    </row>
    <row r="13" spans="1:8" x14ac:dyDescent="0.35">
      <c r="A13" s="4">
        <v>43851</v>
      </c>
      <c r="B13" s="2">
        <v>0.45927977394038505</v>
      </c>
      <c r="C13" s="1">
        <f t="shared" si="3"/>
        <v>-0.15751015964983195</v>
      </c>
      <c r="D13" s="1">
        <f t="shared" si="1"/>
        <v>0.45927977394038505</v>
      </c>
      <c r="E13" s="1">
        <f t="shared" si="0"/>
        <v>-0.11464116982836189</v>
      </c>
      <c r="F13" s="1">
        <f t="shared" si="1"/>
        <v>0.45927977394038505</v>
      </c>
      <c r="G13" s="1">
        <f t="shared" si="2"/>
        <v>-9.0801911410630182E-2</v>
      </c>
      <c r="H13" s="1">
        <f t="shared" si="1"/>
        <v>0.45927977394038505</v>
      </c>
    </row>
    <row r="14" spans="1:8" x14ac:dyDescent="0.35">
      <c r="A14" s="4">
        <v>43850</v>
      </c>
      <c r="B14" s="2">
        <v>0.48262738536537969</v>
      </c>
      <c r="C14" s="1">
        <f t="shared" si="3"/>
        <v>-0.12322482167953722</v>
      </c>
      <c r="D14" s="1">
        <f t="shared" si="1"/>
        <v>0.48262738536537969</v>
      </c>
      <c r="E14" s="1">
        <f t="shared" si="0"/>
        <v>-9.9642263601950859E-2</v>
      </c>
      <c r="F14" s="1">
        <f t="shared" si="1"/>
        <v>0.48262738536537969</v>
      </c>
      <c r="G14" s="1">
        <f t="shared" si="2"/>
        <v>-6.151969205827558E-2</v>
      </c>
      <c r="H14" s="1">
        <f t="shared" si="1"/>
        <v>0.48262738536537969</v>
      </c>
    </row>
    <row r="15" spans="1:8" x14ac:dyDescent="0.35">
      <c r="A15" s="4">
        <v>43849</v>
      </c>
      <c r="B15" s="2">
        <v>0.50869100133830136</v>
      </c>
      <c r="C15" s="1">
        <f t="shared" si="3"/>
        <v>-8.8896729679634828E-2</v>
      </c>
      <c r="D15" s="1">
        <f t="shared" si="1"/>
        <v>0.50869100133830136</v>
      </c>
      <c r="E15" s="1">
        <f t="shared" si="0"/>
        <v>-8.0601117003258116E-2</v>
      </c>
      <c r="F15" s="1">
        <f t="shared" si="1"/>
        <v>0.50869100133830136</v>
      </c>
      <c r="G15" s="1">
        <f t="shared" si="2"/>
        <v>-3.1819484779967801E-2</v>
      </c>
      <c r="H15" s="1">
        <f t="shared" si="1"/>
        <v>0.50869100133830136</v>
      </c>
    </row>
    <row r="16" spans="1:8" x14ac:dyDescent="0.35">
      <c r="A16" s="4">
        <v>43848</v>
      </c>
      <c r="B16" s="2">
        <v>0.56660801423874407</v>
      </c>
      <c r="C16" s="1">
        <f t="shared" si="3"/>
        <v>-2.6484350036986105E-2</v>
      </c>
      <c r="D16" s="1">
        <f t="shared" si="1"/>
        <v>0.56660801423874407</v>
      </c>
      <c r="E16" s="1">
        <f t="shared" si="0"/>
        <v>-2.6871342796304862E-2</v>
      </c>
      <c r="F16" s="1">
        <f t="shared" si="1"/>
        <v>0.56660801423874407</v>
      </c>
      <c r="G16" s="1">
        <f t="shared" si="2"/>
        <v>2.6312101495205895E-2</v>
      </c>
      <c r="H16" s="1">
        <f t="shared" si="1"/>
        <v>0.54029591274353816</v>
      </c>
    </row>
    <row r="17" spans="1:8" x14ac:dyDescent="0.35">
      <c r="A17" s="4">
        <v>43847</v>
      </c>
      <c r="B17" s="2">
        <v>0.58755296389431166</v>
      </c>
      <c r="C17" s="1">
        <f t="shared" si="3"/>
        <v>-4.3385097407283406E-3</v>
      </c>
      <c r="D17" s="1">
        <f t="shared" si="1"/>
        <v>0.58755296389431166</v>
      </c>
      <c r="E17" s="1">
        <f t="shared" si="0"/>
        <v>-7.2560310841308703E-3</v>
      </c>
      <c r="F17" s="1">
        <f t="shared" si="1"/>
        <v>0.58755296389431166</v>
      </c>
      <c r="G17" s="1">
        <f t="shared" si="2"/>
        <v>4.4498207926549259E-2</v>
      </c>
      <c r="H17" s="1">
        <f t="shared" si="1"/>
        <v>0.54305475596776243</v>
      </c>
    </row>
    <row r="18" spans="1:8" x14ac:dyDescent="0.35">
      <c r="A18" s="4">
        <v>43846</v>
      </c>
      <c r="B18" s="2">
        <v>0.66029716277081307</v>
      </c>
      <c r="C18" s="1">
        <f t="shared" si="3"/>
        <v>6.6003169908458892E-2</v>
      </c>
      <c r="D18" s="1">
        <f t="shared" si="1"/>
        <v>0.59429399286235418</v>
      </c>
      <c r="E18" s="1">
        <f t="shared" si="0"/>
        <v>-8.300440025837269E-4</v>
      </c>
      <c r="F18" s="1">
        <f t="shared" si="1"/>
        <v>0.59429399286235418</v>
      </c>
      <c r="G18" s="1">
        <f t="shared" si="2"/>
        <v>4.7649082713798988E-2</v>
      </c>
      <c r="H18" s="1">
        <f t="shared" si="1"/>
        <v>0.54664491014855521</v>
      </c>
    </row>
    <row r="19" spans="1:8" x14ac:dyDescent="0.35">
      <c r="A19" s="4">
        <v>43845</v>
      </c>
      <c r="B19" s="2">
        <v>0.75791870298967234</v>
      </c>
      <c r="C19" s="1">
        <f t="shared" si="3"/>
        <v>0.15501366462597654</v>
      </c>
      <c r="D19" s="1">
        <f t="shared" si="1"/>
        <v>0.6029050383636958</v>
      </c>
      <c r="E19" s="1">
        <f t="shared" si="0"/>
        <v>8.062797072927114E-3</v>
      </c>
      <c r="F19" s="1">
        <f t="shared" si="1"/>
        <v>0.59484224129076868</v>
      </c>
      <c r="G19" s="1">
        <f t="shared" si="2"/>
        <v>4.4603090622613022E-2</v>
      </c>
      <c r="H19" s="1">
        <f t="shared" si="1"/>
        <v>0.55023915066815565</v>
      </c>
    </row>
    <row r="20" spans="1:8" x14ac:dyDescent="0.35">
      <c r="A20" s="4">
        <v>43844</v>
      </c>
      <c r="B20" s="2">
        <v>0.77130368174585173</v>
      </c>
      <c r="C20" s="1">
        <f t="shared" si="3"/>
        <v>0.15627068183185097</v>
      </c>
      <c r="D20" s="1">
        <f t="shared" si="1"/>
        <v>0.61503299991400073</v>
      </c>
      <c r="E20" s="1">
        <f t="shared" si="0"/>
        <v>2.1336173043346607E-2</v>
      </c>
      <c r="F20" s="1">
        <f t="shared" si="1"/>
        <v>0.59369682687065417</v>
      </c>
      <c r="G20" s="1">
        <f t="shared" si="2"/>
        <v>4.0155397446556829E-2</v>
      </c>
      <c r="H20" s="1">
        <f t="shared" si="1"/>
        <v>0.55354142942409734</v>
      </c>
    </row>
    <row r="21" spans="1:8" x14ac:dyDescent="0.35">
      <c r="A21" s="4">
        <v>43843</v>
      </c>
      <c r="B21" s="2">
        <v>0.74486570379831163</v>
      </c>
      <c r="C21" s="1">
        <f t="shared" si="3"/>
        <v>0.1191038269199548</v>
      </c>
      <c r="D21" s="1">
        <f t="shared" si="1"/>
        <v>0.62576187687835683</v>
      </c>
      <c r="E21" s="1">
        <f t="shared" si="0"/>
        <v>3.4229964455718215E-2</v>
      </c>
      <c r="F21" s="1">
        <f t="shared" si="1"/>
        <v>0.59153191242263858</v>
      </c>
      <c r="G21" s="1">
        <f t="shared" si="2"/>
        <v>3.5060012481850061E-2</v>
      </c>
      <c r="H21" s="1">
        <f t="shared" si="1"/>
        <v>0.55647189994078849</v>
      </c>
    </row>
    <row r="22" spans="1:8" x14ac:dyDescent="0.35">
      <c r="A22" s="4">
        <v>43842</v>
      </c>
      <c r="B22" s="2">
        <v>0.8497202444446591</v>
      </c>
      <c r="C22" s="1">
        <f t="shared" si="3"/>
        <v>0.21109353527306762</v>
      </c>
      <c r="D22" s="1">
        <f t="shared" si="1"/>
        <v>0.63862670917159148</v>
      </c>
      <c r="E22" s="1">
        <f t="shared" si="0"/>
        <v>5.0391746527520605E-2</v>
      </c>
      <c r="F22" s="1">
        <f t="shared" si="1"/>
        <v>0.58823496264407082</v>
      </c>
      <c r="G22" s="1">
        <f t="shared" si="2"/>
        <v>2.9257197383839844E-2</v>
      </c>
      <c r="H22" s="1">
        <f t="shared" si="1"/>
        <v>0.55897776526023102</v>
      </c>
    </row>
    <row r="23" spans="1:8" x14ac:dyDescent="0.35">
      <c r="A23" s="4">
        <v>43841</v>
      </c>
      <c r="B23" s="2">
        <v>1.2133494323944498</v>
      </c>
      <c r="C23" s="1">
        <f t="shared" si="3"/>
        <v>0.54525461352926108</v>
      </c>
      <c r="D23" s="1">
        <f t="shared" si="1"/>
        <v>0.66809481886518873</v>
      </c>
      <c r="E23" s="1">
        <f t="shared" si="0"/>
        <v>8.5140326602819422E-2</v>
      </c>
      <c r="F23" s="1">
        <f t="shared" si="1"/>
        <v>0.58295449226236928</v>
      </c>
      <c r="G23" s="1">
        <f t="shared" si="2"/>
        <v>2.1980454837664126E-2</v>
      </c>
      <c r="H23" s="1">
        <f t="shared" si="1"/>
        <v>0.5609740374247052</v>
      </c>
    </row>
    <row r="24" spans="1:8" x14ac:dyDescent="0.35">
      <c r="A24" s="4">
        <v>43840</v>
      </c>
      <c r="B24" s="2">
        <v>0.52930995477155551</v>
      </c>
      <c r="C24" s="1">
        <f t="shared" si="3"/>
        <v>-0.15402747969746922</v>
      </c>
      <c r="D24" s="1">
        <f t="shared" si="1"/>
        <v>0.52930995477155551</v>
      </c>
      <c r="E24" s="1">
        <f t="shared" si="0"/>
        <v>-5.2367681175462227E-2</v>
      </c>
      <c r="F24" s="1">
        <f t="shared" si="1"/>
        <v>0.52930995477155551</v>
      </c>
      <c r="G24" s="1">
        <f t="shared" si="2"/>
        <v>-3.1300946610068936E-2</v>
      </c>
      <c r="H24" s="1">
        <f t="shared" si="1"/>
        <v>0.52930995477155551</v>
      </c>
    </row>
    <row r="25" spans="1:8" x14ac:dyDescent="0.35">
      <c r="A25" s="4">
        <v>43839</v>
      </c>
      <c r="B25" s="2">
        <v>0.49229751778890579</v>
      </c>
      <c r="C25" s="1">
        <f t="shared" si="3"/>
        <v>-0.17809988931595938</v>
      </c>
      <c r="D25" s="1">
        <f t="shared" si="1"/>
        <v>0.49229751778890579</v>
      </c>
      <c r="E25" s="1">
        <f t="shared" si="0"/>
        <v>-9.5126650563527121E-2</v>
      </c>
      <c r="F25" s="1">
        <f t="shared" si="1"/>
        <v>0.49229751778890579</v>
      </c>
      <c r="G25" s="1">
        <f t="shared" si="2"/>
        <v>-6.4577846210114129E-2</v>
      </c>
      <c r="H25" s="1">
        <f t="shared" si="1"/>
        <v>0.49229751778890579</v>
      </c>
    </row>
    <row r="26" spans="1:8" x14ac:dyDescent="0.35">
      <c r="A26" s="4">
        <v>43838</v>
      </c>
      <c r="B26" s="2">
        <v>0.48587468988515498</v>
      </c>
      <c r="C26" s="1">
        <f t="shared" si="3"/>
        <v>-0.17092436947462261</v>
      </c>
      <c r="D26" s="1">
        <f t="shared" si="1"/>
        <v>0.48587468988515498</v>
      </c>
      <c r="E26" s="1">
        <f t="shared" si="0"/>
        <v>-0.10952283504960787</v>
      </c>
      <c r="F26" s="1">
        <f t="shared" si="1"/>
        <v>0.48587468988515498</v>
      </c>
      <c r="G26" s="1">
        <f t="shared" si="2"/>
        <v>-6.5916479601715733E-2</v>
      </c>
      <c r="H26" s="1">
        <f t="shared" si="1"/>
        <v>0.48587468988515498</v>
      </c>
    </row>
    <row r="27" spans="1:8" x14ac:dyDescent="0.35">
      <c r="A27" s="4">
        <v>43837</v>
      </c>
      <c r="B27" s="2">
        <v>0.51330519507098094</v>
      </c>
      <c r="C27" s="1">
        <f t="shared" si="3"/>
        <v>-0.13170318052266844</v>
      </c>
      <c r="D27" s="1">
        <f t="shared" si="1"/>
        <v>0.51330519507098094</v>
      </c>
      <c r="E27" s="1">
        <f t="shared" si="0"/>
        <v>-8.9860512225135539E-2</v>
      </c>
      <c r="F27" s="1">
        <f t="shared" si="1"/>
        <v>0.51330519507098094</v>
      </c>
      <c r="G27" s="1">
        <f t="shared" si="2"/>
        <v>-3.4570882390229568E-2</v>
      </c>
      <c r="H27" s="1">
        <f t="shared" si="1"/>
        <v>0.51330519507098094</v>
      </c>
    </row>
    <row r="28" spans="1:8" x14ac:dyDescent="0.35">
      <c r="A28" s="4">
        <v>43836</v>
      </c>
      <c r="B28" s="2">
        <v>0.55271423508932471</v>
      </c>
      <c r="C28" s="1">
        <f t="shared" si="3"/>
        <v>-8.3894240965812425E-2</v>
      </c>
      <c r="D28" s="1">
        <f t="shared" si="1"/>
        <v>0.55271423508932471</v>
      </c>
      <c r="E28" s="1">
        <f t="shared" si="0"/>
        <v>-5.6139795899978001E-2</v>
      </c>
      <c r="F28" s="1">
        <f t="shared" si="1"/>
        <v>0.55271423508932471</v>
      </c>
      <c r="G28" s="1">
        <f t="shared" si="2"/>
        <v>5.9531348066935372E-3</v>
      </c>
      <c r="H28" s="1">
        <f t="shared" si="1"/>
        <v>0.54676110028263114</v>
      </c>
    </row>
    <row r="29" spans="1:8" x14ac:dyDescent="0.35">
      <c r="A29" s="4">
        <v>43835</v>
      </c>
      <c r="B29" s="2">
        <v>0.59288100271403366</v>
      </c>
      <c r="C29" s="1">
        <f t="shared" si="3"/>
        <v>-3.8941659054594138E-2</v>
      </c>
      <c r="D29" s="1">
        <f t="shared" si="1"/>
        <v>0.59288100271403366</v>
      </c>
      <c r="E29" s="1">
        <f t="shared" si="0"/>
        <v>-1.8896521147238537E-2</v>
      </c>
      <c r="F29" s="1">
        <f t="shared" si="1"/>
        <v>0.59288100271403366</v>
      </c>
      <c r="G29" s="1">
        <f t="shared" si="2"/>
        <v>4.416716353497388E-2</v>
      </c>
      <c r="H29" s="1">
        <f t="shared" si="1"/>
        <v>0.5487138391790598</v>
      </c>
    </row>
    <row r="30" spans="1:8" x14ac:dyDescent="0.35">
      <c r="A30" s="4">
        <v>43834</v>
      </c>
      <c r="B30" s="2">
        <v>0.66897464702433629</v>
      </c>
      <c r="C30" s="1">
        <f t="shared" si="3"/>
        <v>3.7219098023166711E-2</v>
      </c>
      <c r="D30" s="1">
        <f t="shared" si="1"/>
        <v>0.63175554900116959</v>
      </c>
      <c r="E30" s="1">
        <f t="shared" si="0"/>
        <v>2.0021869896356542E-2</v>
      </c>
      <c r="F30" s="1">
        <f t="shared" si="1"/>
        <v>0.61173367910481302</v>
      </c>
      <c r="G30" s="1">
        <f t="shared" si="2"/>
        <v>5.9000327295975985E-2</v>
      </c>
      <c r="H30" s="1">
        <f t="shared" si="1"/>
        <v>0.55273335180883709</v>
      </c>
    </row>
    <row r="31" spans="1:8" x14ac:dyDescent="0.35">
      <c r="A31" s="4">
        <v>43833</v>
      </c>
      <c r="B31" s="2">
        <v>0.76382291326053997</v>
      </c>
      <c r="C31" s="1">
        <f t="shared" si="3"/>
        <v>0.12571912192377524</v>
      </c>
      <c r="D31" s="1">
        <f t="shared" si="1"/>
        <v>0.63810379133676476</v>
      </c>
      <c r="E31" s="1">
        <f t="shared" si="0"/>
        <v>2.8250868264180419E-2</v>
      </c>
      <c r="F31" s="1">
        <f t="shared" si="1"/>
        <v>0.60985292307258432</v>
      </c>
      <c r="G31" s="1">
        <f t="shared" si="2"/>
        <v>5.2765075067757662E-2</v>
      </c>
      <c r="H31" s="1">
        <f t="shared" si="1"/>
        <v>0.55708784800482669</v>
      </c>
    </row>
    <row r="32" spans="1:8" x14ac:dyDescent="0.35">
      <c r="A32" s="4">
        <v>43832</v>
      </c>
      <c r="B32" s="2">
        <v>0.81849060081804437</v>
      </c>
      <c r="C32" s="1">
        <f t="shared" si="3"/>
        <v>0.16890783705359008</v>
      </c>
      <c r="D32" s="1">
        <f t="shared" si="1"/>
        <v>0.64958276376445423</v>
      </c>
      <c r="E32" s="1">
        <f t="shared" si="0"/>
        <v>4.2485815379277335E-2</v>
      </c>
      <c r="F32" s="1">
        <f t="shared" si="1"/>
        <v>0.60709694838517692</v>
      </c>
      <c r="G32" s="1">
        <f t="shared" si="2"/>
        <v>4.6155068801046216E-2</v>
      </c>
      <c r="H32" s="1">
        <f t="shared" si="1"/>
        <v>0.56094187958413066</v>
      </c>
    </row>
    <row r="33" spans="1:8" x14ac:dyDescent="0.35">
      <c r="A33" s="3">
        <v>43831</v>
      </c>
      <c r="B33" s="1">
        <v>0.85192535760595789</v>
      </c>
      <c r="C33" s="1">
        <f t="shared" si="3"/>
        <v>0.18842070268293759</v>
      </c>
      <c r="D33" s="1">
        <f t="shared" si="1"/>
        <v>0.66350465492302035</v>
      </c>
      <c r="E33" s="1">
        <f t="shared" si="0"/>
        <v>6.0416903372321328E-2</v>
      </c>
      <c r="F33" s="1">
        <f t="shared" si="1"/>
        <v>0.60308775155069905</v>
      </c>
      <c r="G33" s="1">
        <f t="shared" si="2"/>
        <v>3.88345866877828E-2</v>
      </c>
      <c r="H33" s="1">
        <f t="shared" si="1"/>
        <v>0.56425316486291621</v>
      </c>
    </row>
    <row r="34" spans="1:8" x14ac:dyDescent="0.35">
      <c r="A34" s="3">
        <f>A33+1</f>
        <v>43832</v>
      </c>
      <c r="B34" s="1">
        <v>0.81849060081804437</v>
      </c>
      <c r="C34" s="1">
        <f t="shared" si="3"/>
        <v>0.1421081965733505</v>
      </c>
      <c r="D34" s="1">
        <f t="shared" si="1"/>
        <v>0.67638240424469387</v>
      </c>
      <c r="E34" s="1">
        <f t="shared" si="0"/>
        <v>7.8715391453440087E-2</v>
      </c>
      <c r="F34" s="1">
        <f t="shared" si="1"/>
        <v>0.59766701279125378</v>
      </c>
      <c r="G34" s="1">
        <f t="shared" si="2"/>
        <v>3.0704531630233022E-2</v>
      </c>
      <c r="H34" s="1">
        <f t="shared" si="1"/>
        <v>0.56696248116102077</v>
      </c>
    </row>
    <row r="35" spans="1:8" x14ac:dyDescent="0.35">
      <c r="A35" s="3">
        <f t="shared" ref="A35:A98" si="4">A34+1</f>
        <v>43833</v>
      </c>
      <c r="B35" s="1">
        <v>0.76382291326053997</v>
      </c>
      <c r="C35" s="1">
        <f t="shared" si="3"/>
        <v>7.8832432556251247E-2</v>
      </c>
      <c r="D35" s="1">
        <f t="shared" si="1"/>
        <v>0.6849904807042887</v>
      </c>
      <c r="E35" s="1">
        <f t="shared" si="0"/>
        <v>9.405477302248659E-2</v>
      </c>
      <c r="F35" s="1">
        <f t="shared" si="1"/>
        <v>0.59093570768180215</v>
      </c>
      <c r="G35" s="1">
        <f t="shared" si="2"/>
        <v>2.1922810590118347E-2</v>
      </c>
      <c r="H35" s="1">
        <f t="shared" si="1"/>
        <v>0.56901289709168379</v>
      </c>
    </row>
    <row r="36" spans="1:8" x14ac:dyDescent="0.35">
      <c r="A36" s="3">
        <f t="shared" si="4"/>
        <v>43834</v>
      </c>
      <c r="B36" s="1">
        <v>0.66897464702433629</v>
      </c>
      <c r="C36" s="1">
        <f t="shared" si="3"/>
        <v>-1.837145613781363E-2</v>
      </c>
      <c r="D36" s="1">
        <f t="shared" si="1"/>
        <v>0.66897464702433629</v>
      </c>
      <c r="E36" s="1">
        <f t="shared" si="0"/>
        <v>8.501571146544043E-2</v>
      </c>
      <c r="F36" s="1">
        <f t="shared" si="1"/>
        <v>0.58395893555889589</v>
      </c>
      <c r="G36" s="1">
        <f t="shared" si="2"/>
        <v>1.3563456627562198E-2</v>
      </c>
      <c r="H36" s="1">
        <f t="shared" si="1"/>
        <v>0.57039547893133369</v>
      </c>
    </row>
    <row r="37" spans="1:8" x14ac:dyDescent="0.35">
      <c r="A37" s="3">
        <f t="shared" si="4"/>
        <v>43835</v>
      </c>
      <c r="B37" s="1">
        <v>0.59288100271403366</v>
      </c>
      <c r="C37" s="1">
        <f t="shared" si="3"/>
        <v>-9.0233729576143895E-2</v>
      </c>
      <c r="D37" s="1">
        <f t="shared" si="1"/>
        <v>0.59288100271403366</v>
      </c>
      <c r="E37" s="1">
        <f t="shared" si="0"/>
        <v>1.2730355477593668E-2</v>
      </c>
      <c r="F37" s="1">
        <f t="shared" si="1"/>
        <v>0.58015064723643994</v>
      </c>
      <c r="G37" s="1">
        <f t="shared" si="2"/>
        <v>8.880719870131188E-3</v>
      </c>
      <c r="H37" s="1">
        <f t="shared" si="1"/>
        <v>0.57126992736630877</v>
      </c>
    </row>
    <row r="38" spans="1:8" x14ac:dyDescent="0.35">
      <c r="A38" s="3">
        <f t="shared" si="4"/>
        <v>43836</v>
      </c>
      <c r="B38" s="1">
        <v>0.55271423508932471</v>
      </c>
      <c r="C38" s="1">
        <f t="shared" si="3"/>
        <v>-0.12212671369671546</v>
      </c>
      <c r="D38" s="1">
        <f t="shared" si="1"/>
        <v>0.55271423508932471</v>
      </c>
      <c r="E38" s="1">
        <f t="shared" si="0"/>
        <v>-2.8032603633717498E-2</v>
      </c>
      <c r="F38" s="1">
        <f t="shared" si="1"/>
        <v>0.55271423508932471</v>
      </c>
      <c r="G38" s="1">
        <f t="shared" si="2"/>
        <v>-1.8192880811727062E-2</v>
      </c>
      <c r="H38" s="1">
        <f t="shared" si="1"/>
        <v>0.55271423508932471</v>
      </c>
    </row>
    <row r="39" spans="1:8" x14ac:dyDescent="0.35">
      <c r="A39" s="3">
        <f t="shared" si="4"/>
        <v>43837</v>
      </c>
      <c r="B39" s="1">
        <v>0.51330519507098094</v>
      </c>
      <c r="C39" s="1">
        <f t="shared" si="3"/>
        <v>-0.15089841118711769</v>
      </c>
      <c r="D39" s="1">
        <f t="shared" si="1"/>
        <v>0.51330519507098094</v>
      </c>
      <c r="E39" s="1">
        <f t="shared" si="0"/>
        <v>-7.1312221244727983E-2</v>
      </c>
      <c r="F39" s="1">
        <f t="shared" si="1"/>
        <v>0.51330519507098094</v>
      </c>
      <c r="G39" s="1">
        <f t="shared" si="2"/>
        <v>-5.4759615768503425E-2</v>
      </c>
      <c r="H39" s="1">
        <f t="shared" si="1"/>
        <v>0.51330519507098094</v>
      </c>
    </row>
    <row r="40" spans="1:8" x14ac:dyDescent="0.35">
      <c r="A40" s="3">
        <f t="shared" si="4"/>
        <v>43838</v>
      </c>
      <c r="B40" s="1">
        <v>0.48587468988515498</v>
      </c>
      <c r="C40" s="1">
        <f t="shared" si="3"/>
        <v>-0.16598289158944135</v>
      </c>
      <c r="D40" s="1">
        <f t="shared" si="1"/>
        <v>0.48587468988515498</v>
      </c>
      <c r="E40" s="1">
        <f t="shared" si="0"/>
        <v>-0.10563684593090321</v>
      </c>
      <c r="F40" s="1">
        <f t="shared" si="1"/>
        <v>0.48587468988515498</v>
      </c>
      <c r="G40" s="1">
        <f t="shared" si="2"/>
        <v>-7.705450582722316E-2</v>
      </c>
      <c r="H40" s="1">
        <f t="shared" si="1"/>
        <v>0.48587468988515498</v>
      </c>
    </row>
    <row r="41" spans="1:8" x14ac:dyDescent="0.35">
      <c r="A41" s="3">
        <f t="shared" si="4"/>
        <v>43839</v>
      </c>
      <c r="B41" s="1">
        <v>0.49229751778890579</v>
      </c>
      <c r="C41" s="1">
        <f t="shared" si="3"/>
        <v>-0.14735220286287309</v>
      </c>
      <c r="D41" s="1">
        <f t="shared" si="1"/>
        <v>0.49229751778890579</v>
      </c>
      <c r="E41" s="1">
        <f t="shared" si="0"/>
        <v>-0.10751878278220869</v>
      </c>
      <c r="F41" s="1">
        <f t="shared" si="1"/>
        <v>0.49229751778890579</v>
      </c>
      <c r="G41" s="1">
        <f t="shared" si="2"/>
        <v>-6.5093446032821259E-2</v>
      </c>
      <c r="H41" s="1">
        <f t="shared" si="1"/>
        <v>0.49229751778890579</v>
      </c>
    </row>
    <row r="42" spans="1:8" x14ac:dyDescent="0.35">
      <c r="A42" s="3">
        <f t="shared" si="4"/>
        <v>43840</v>
      </c>
      <c r="B42" s="1">
        <v>0.52930995477155551</v>
      </c>
      <c r="C42" s="1">
        <f t="shared" si="3"/>
        <v>-0.10067631705235726</v>
      </c>
      <c r="D42" s="1">
        <f t="shared" si="1"/>
        <v>0.52930995477155551</v>
      </c>
      <c r="E42" s="1">
        <f t="shared" si="0"/>
        <v>-7.7723580742063064E-2</v>
      </c>
      <c r="F42" s="1">
        <f t="shared" si="1"/>
        <v>0.52930995477155551</v>
      </c>
      <c r="G42" s="1">
        <f t="shared" si="2"/>
        <v>-2.4586966984559311E-2</v>
      </c>
      <c r="H42" s="1">
        <f t="shared" si="1"/>
        <v>0.52930995477155551</v>
      </c>
    </row>
    <row r="43" spans="1:8" x14ac:dyDescent="0.35">
      <c r="A43" s="3">
        <f t="shared" si="4"/>
        <v>43841</v>
      </c>
      <c r="B43" s="1">
        <v>1.2133494323944498</v>
      </c>
      <c r="C43" s="1">
        <f t="shared" si="3"/>
        <v>0.56526240393860527</v>
      </c>
      <c r="D43" s="1">
        <f t="shared" si="1"/>
        <v>0.64808702845584454</v>
      </c>
      <c r="E43" s="1">
        <f t="shared" si="0"/>
        <v>3.9566867761151495E-2</v>
      </c>
      <c r="F43" s="1">
        <f t="shared" si="1"/>
        <v>0.60852016069469306</v>
      </c>
      <c r="G43" s="1">
        <f t="shared" si="2"/>
        <v>5.3496878740302525E-2</v>
      </c>
      <c r="H43" s="1">
        <f t="shared" si="1"/>
        <v>0.55502328195439055</v>
      </c>
    </row>
    <row r="44" spans="1:8" x14ac:dyDescent="0.35">
      <c r="A44" s="3">
        <f t="shared" si="4"/>
        <v>43842</v>
      </c>
      <c r="B44" s="1">
        <v>0.8497202444446591</v>
      </c>
      <c r="C44" s="1">
        <f t="shared" si="3"/>
        <v>0.17287463024153632</v>
      </c>
      <c r="D44" s="1">
        <f t="shared" si="1"/>
        <v>0.67684561420312273</v>
      </c>
      <c r="E44" s="1">
        <f t="shared" si="0"/>
        <v>7.2699466532872153E-2</v>
      </c>
      <c r="F44" s="1">
        <f t="shared" si="1"/>
        <v>0.60414614767025054</v>
      </c>
      <c r="G44" s="1">
        <f t="shared" si="2"/>
        <v>4.5274625298753923E-2</v>
      </c>
      <c r="H44" s="1">
        <f t="shared" si="1"/>
        <v>0.55887152237149662</v>
      </c>
    </row>
    <row r="45" spans="1:8" x14ac:dyDescent="0.35">
      <c r="A45" s="3">
        <f t="shared" si="4"/>
        <v>43843</v>
      </c>
      <c r="B45" s="1">
        <v>0.74486570379831163</v>
      </c>
      <c r="C45" s="1">
        <f t="shared" si="3"/>
        <v>5.8986537601311659E-2</v>
      </c>
      <c r="D45" s="1">
        <f t="shared" si="1"/>
        <v>0.68587916619699996</v>
      </c>
      <c r="E45" s="1">
        <f t="shared" si="0"/>
        <v>8.7993794948085388E-2</v>
      </c>
      <c r="F45" s="1">
        <f t="shared" si="1"/>
        <v>0.59788537124891461</v>
      </c>
      <c r="G45" s="1">
        <f t="shared" si="2"/>
        <v>3.585303109581154E-2</v>
      </c>
      <c r="H45" s="1">
        <f t="shared" si="1"/>
        <v>0.5620323401531031</v>
      </c>
    </row>
    <row r="46" spans="1:8" x14ac:dyDescent="0.35">
      <c r="A46" s="3">
        <f t="shared" si="4"/>
        <v>43844</v>
      </c>
      <c r="B46" s="1">
        <v>0.77130368174585173</v>
      </c>
      <c r="C46" s="1">
        <f t="shared" si="3"/>
        <v>8.0009101055720636E-2</v>
      </c>
      <c r="D46" s="1">
        <f t="shared" si="1"/>
        <v>0.69129458069013106</v>
      </c>
      <c r="E46" s="1">
        <f t="shared" si="0"/>
        <v>0.10076338529483683</v>
      </c>
      <c r="F46" s="1">
        <f t="shared" si="1"/>
        <v>0.5905311953952942</v>
      </c>
      <c r="G46" s="1">
        <f t="shared" si="2"/>
        <v>2.6085659504516027E-2</v>
      </c>
      <c r="H46" s="1">
        <f t="shared" si="1"/>
        <v>0.56444553589077817</v>
      </c>
    </row>
    <row r="47" spans="1:8" x14ac:dyDescent="0.35">
      <c r="A47" s="3">
        <f t="shared" si="4"/>
        <v>43845</v>
      </c>
      <c r="B47" s="1">
        <v>0.75791870298967234</v>
      </c>
      <c r="C47" s="1">
        <f t="shared" si="3"/>
        <v>6.112537642371893E-2</v>
      </c>
      <c r="D47" s="1">
        <f t="shared" si="1"/>
        <v>0.69679332656595339</v>
      </c>
      <c r="E47" s="1">
        <f t="shared" si="0"/>
        <v>0.11465505751385494</v>
      </c>
      <c r="F47" s="1">
        <f t="shared" si="1"/>
        <v>0.58213826905209842</v>
      </c>
      <c r="G47" s="1">
        <f t="shared" si="2"/>
        <v>1.6051043436351393E-2</v>
      </c>
      <c r="H47" s="1">
        <f t="shared" si="1"/>
        <v>0.56608722561574698</v>
      </c>
    </row>
    <row r="48" spans="1:8" x14ac:dyDescent="0.35">
      <c r="A48" s="3">
        <f t="shared" si="4"/>
        <v>43846</v>
      </c>
      <c r="B48" s="1">
        <v>0.66029716277081307</v>
      </c>
      <c r="C48" s="1">
        <f t="shared" si="3"/>
        <v>-3.7419759268712036E-2</v>
      </c>
      <c r="D48" s="1">
        <f t="shared" si="1"/>
        <v>0.66029716277081307</v>
      </c>
      <c r="E48" s="1">
        <f t="shared" si="0"/>
        <v>8.5975675525440415E-2</v>
      </c>
      <c r="F48" s="1">
        <f t="shared" si="1"/>
        <v>0.57432148724537269</v>
      </c>
      <c r="G48" s="1">
        <f t="shared" si="2"/>
        <v>7.3235626896515187E-3</v>
      </c>
      <c r="H48" s="1">
        <f t="shared" si="1"/>
        <v>0.56699792455572118</v>
      </c>
    </row>
    <row r="49" spans="1:8" x14ac:dyDescent="0.35">
      <c r="A49" s="3">
        <f t="shared" si="4"/>
        <v>43847</v>
      </c>
      <c r="B49" s="1">
        <v>0.58755296389431166</v>
      </c>
      <c r="C49" s="1">
        <f t="shared" si="3"/>
        <v>-0.10462956874219125</v>
      </c>
      <c r="D49" s="1">
        <f t="shared" si="1"/>
        <v>0.58755296389431166</v>
      </c>
      <c r="E49" s="1">
        <f t="shared" si="0"/>
        <v>1.7253388223576006E-2</v>
      </c>
      <c r="F49" s="1">
        <f t="shared" si="1"/>
        <v>0.57029957567073564</v>
      </c>
      <c r="G49" s="1">
        <f t="shared" si="2"/>
        <v>2.9032055973394954E-3</v>
      </c>
      <c r="H49" s="1">
        <f t="shared" si="1"/>
        <v>0.56739637007339616</v>
      </c>
    </row>
    <row r="50" spans="1:8" x14ac:dyDescent="0.35">
      <c r="A50" s="3">
        <f t="shared" si="4"/>
        <v>43848</v>
      </c>
      <c r="B50" s="1">
        <v>0.56660801423874407</v>
      </c>
      <c r="C50" s="1">
        <f t="shared" si="3"/>
        <v>-0.11694186513001072</v>
      </c>
      <c r="D50" s="1">
        <f t="shared" si="1"/>
        <v>0.56660801423874407</v>
      </c>
      <c r="E50" s="1">
        <f t="shared" si="0"/>
        <v>-3.1417576431435681E-3</v>
      </c>
      <c r="F50" s="1">
        <f t="shared" si="1"/>
        <v>0.56660801423874407</v>
      </c>
      <c r="G50" s="1">
        <f t="shared" si="2"/>
        <v>-8.6766270075284632E-4</v>
      </c>
      <c r="H50" s="1">
        <f t="shared" si="1"/>
        <v>0.56660801423874407</v>
      </c>
    </row>
    <row r="51" spans="1:8" x14ac:dyDescent="0.35">
      <c r="A51" s="3">
        <f t="shared" si="4"/>
        <v>43849</v>
      </c>
      <c r="B51" s="1">
        <v>0.50869100133830136</v>
      </c>
      <c r="C51" s="1">
        <f t="shared" si="3"/>
        <v>-0.16391635016193604</v>
      </c>
      <c r="D51" s="1">
        <f t="shared" si="1"/>
        <v>0.50869100133830136</v>
      </c>
      <c r="E51" s="1">
        <f t="shared" si="0"/>
        <v>-6.3661494659264517E-2</v>
      </c>
      <c r="F51" s="1">
        <f t="shared" si="1"/>
        <v>0.50869100133830136</v>
      </c>
      <c r="G51" s="1">
        <f t="shared" si="2"/>
        <v>-5.654771291487249E-2</v>
      </c>
      <c r="H51" s="1">
        <f t="shared" si="1"/>
        <v>0.50869100133830136</v>
      </c>
    </row>
    <row r="52" spans="1:8" x14ac:dyDescent="0.35">
      <c r="A52" s="3">
        <f t="shared" si="4"/>
        <v>43850</v>
      </c>
      <c r="B52" s="1">
        <v>0.48262738536537969</v>
      </c>
      <c r="C52" s="1">
        <f t="shared" si="3"/>
        <v>-0.17670885427372796</v>
      </c>
      <c r="D52" s="1">
        <f t="shared" si="1"/>
        <v>0.48262738536537969</v>
      </c>
      <c r="E52" s="1">
        <f t="shared" si="0"/>
        <v>-9.594348652238012E-2</v>
      </c>
      <c r="F52" s="1">
        <f t="shared" si="1"/>
        <v>0.48262738536537969</v>
      </c>
      <c r="G52" s="1">
        <f t="shared" si="2"/>
        <v>-7.7392864820194168E-2</v>
      </c>
      <c r="H52" s="1">
        <f t="shared" si="1"/>
        <v>0.48262738536537969</v>
      </c>
    </row>
    <row r="53" spans="1:8" x14ac:dyDescent="0.35">
      <c r="A53" s="3">
        <f t="shared" si="4"/>
        <v>43851</v>
      </c>
      <c r="B53" s="1">
        <v>0.45927977394038505</v>
      </c>
      <c r="C53" s="1">
        <f t="shared" si="3"/>
        <v>-0.18592776619975571</v>
      </c>
      <c r="D53" s="1">
        <f t="shared" si="1"/>
        <v>0.45927977394038505</v>
      </c>
      <c r="E53" s="1">
        <f t="shared" si="0"/>
        <v>-0.12801682434479725</v>
      </c>
      <c r="F53" s="1">
        <f t="shared" si="1"/>
        <v>0.45927977394038505</v>
      </c>
      <c r="G53" s="1">
        <f t="shared" si="2"/>
        <v>-9.406047595523695E-2</v>
      </c>
      <c r="H53" s="1">
        <f t="shared" si="1"/>
        <v>0.45927977394038505</v>
      </c>
    </row>
    <row r="54" spans="1:8" x14ac:dyDescent="0.35">
      <c r="A54" s="3">
        <f t="shared" si="4"/>
        <v>43852</v>
      </c>
      <c r="B54" s="1">
        <v>0.44284880849640934</v>
      </c>
      <c r="C54" s="1">
        <f t="shared" si="3"/>
        <v>-0.18779798797460065</v>
      </c>
      <c r="D54" s="1">
        <f t="shared" si="1"/>
        <v>0.44284880849640934</v>
      </c>
      <c r="E54" s="1">
        <f t="shared" si="0"/>
        <v>-0.1554936525239177</v>
      </c>
      <c r="F54" s="1">
        <f t="shared" si="1"/>
        <v>0.44284880849640934</v>
      </c>
      <c r="G54" s="1">
        <f t="shared" si="2"/>
        <v>-0.1028207444984208</v>
      </c>
      <c r="H54" s="1">
        <f t="shared" si="1"/>
        <v>0.44284880849640934</v>
      </c>
    </row>
    <row r="55" spans="1:8" x14ac:dyDescent="0.35">
      <c r="A55" s="3">
        <f t="shared" si="4"/>
        <v>43853</v>
      </c>
      <c r="B55" s="1">
        <v>0.46738558510500189</v>
      </c>
      <c r="C55" s="1">
        <f t="shared" si="3"/>
        <v>-0.15009649139073528</v>
      </c>
      <c r="D55" s="1">
        <f t="shared" si="1"/>
        <v>0.46738558510500189</v>
      </c>
      <c r="E55" s="1">
        <f t="shared" si="0"/>
        <v>-0.14256973517637553</v>
      </c>
      <c r="F55" s="1">
        <f t="shared" si="1"/>
        <v>0.46738558510500189</v>
      </c>
      <c r="G55" s="1">
        <f t="shared" si="2"/>
        <v>-7.1492541175268903E-2</v>
      </c>
      <c r="H55" s="1">
        <f t="shared" si="1"/>
        <v>0.46738558510500189</v>
      </c>
    </row>
    <row r="56" spans="1:8" x14ac:dyDescent="0.35">
      <c r="A56" s="3">
        <f t="shared" si="4"/>
        <v>43854</v>
      </c>
      <c r="B56" s="1">
        <v>0.76050112180332452</v>
      </c>
      <c r="C56" s="1">
        <f t="shared" si="3"/>
        <v>0.1432844495357054</v>
      </c>
      <c r="D56" s="1">
        <f t="shared" si="1"/>
        <v>0.61721667226761912</v>
      </c>
      <c r="E56" s="1">
        <f t="shared" si="0"/>
        <v>1.7758769920470669E-3</v>
      </c>
      <c r="F56" s="1">
        <f t="shared" si="1"/>
        <v>0.61544079527557205</v>
      </c>
      <c r="G56" s="1">
        <f t="shared" si="2"/>
        <v>7.6372539202050047E-2</v>
      </c>
      <c r="H56" s="1">
        <f t="shared" si="1"/>
        <v>0.53906825607352205</v>
      </c>
    </row>
    <row r="57" spans="1:8" x14ac:dyDescent="0.35">
      <c r="A57" s="3">
        <f t="shared" si="4"/>
        <v>43855</v>
      </c>
      <c r="B57" s="1">
        <v>0.87360986370156335</v>
      </c>
      <c r="C57" s="1">
        <f t="shared" si="3"/>
        <v>0.2414052798975824</v>
      </c>
      <c r="D57" s="1">
        <f t="shared" si="1"/>
        <v>0.63220458380398092</v>
      </c>
      <c r="E57" s="1">
        <f t="shared" si="0"/>
        <v>1.7515396590048981E-2</v>
      </c>
      <c r="F57" s="1">
        <f t="shared" si="1"/>
        <v>0.61468918721393195</v>
      </c>
      <c r="G57" s="1">
        <f t="shared" si="2"/>
        <v>6.9921176002567711E-2</v>
      </c>
      <c r="H57" s="1">
        <f t="shared" si="1"/>
        <v>0.5447680112113642</v>
      </c>
    </row>
    <row r="58" spans="1:8" x14ac:dyDescent="0.35">
      <c r="A58" s="3">
        <f t="shared" si="4"/>
        <v>43856</v>
      </c>
      <c r="B58" s="1">
        <v>0.86305789450232784</v>
      </c>
      <c r="C58" s="1">
        <f t="shared" si="3"/>
        <v>0.21314361355099956</v>
      </c>
      <c r="D58" s="1">
        <f t="shared" si="1"/>
        <v>0.6499142809513283</v>
      </c>
      <c r="E58" s="1">
        <f t="shared" si="0"/>
        <v>3.7363221723644147E-2</v>
      </c>
      <c r="F58" s="1">
        <f t="shared" si="1"/>
        <v>0.61255105922768416</v>
      </c>
      <c r="G58" s="1">
        <f t="shared" si="2"/>
        <v>6.2619139615611635E-2</v>
      </c>
      <c r="H58" s="1">
        <f t="shared" si="1"/>
        <v>0.54993191961207255</v>
      </c>
    </row>
    <row r="59" spans="1:8" x14ac:dyDescent="0.35">
      <c r="A59" s="3">
        <f t="shared" si="4"/>
        <v>43857</v>
      </c>
      <c r="B59" s="1">
        <v>0.78415227691585165</v>
      </c>
      <c r="C59" s="1">
        <f t="shared" si="3"/>
        <v>0.12121118560769129</v>
      </c>
      <c r="D59" s="1">
        <f t="shared" si="1"/>
        <v>0.66294109130816037</v>
      </c>
      <c r="E59" s="1">
        <f t="shared" si="0"/>
        <v>5.3947596423886489E-2</v>
      </c>
      <c r="F59" s="1">
        <f t="shared" si="1"/>
        <v>0.6089934948842739</v>
      </c>
      <c r="G59" s="1">
        <f t="shared" si="2"/>
        <v>5.4498548463908392E-2</v>
      </c>
      <c r="H59" s="1">
        <f t="shared" si="1"/>
        <v>0.55449494642036545</v>
      </c>
    </row>
    <row r="60" spans="1:8" x14ac:dyDescent="0.35">
      <c r="A60" s="3">
        <f t="shared" si="4"/>
        <v>43858</v>
      </c>
      <c r="B60" s="1">
        <v>0.70436871118050226</v>
      </c>
      <c r="C60" s="1">
        <f t="shared" si="3"/>
        <v>3.5328664666840648E-2</v>
      </c>
      <c r="D60" s="1">
        <f t="shared" si="1"/>
        <v>0.66904004651366167</v>
      </c>
      <c r="E60" s="1">
        <f t="shared" si="0"/>
        <v>6.466793600992593E-2</v>
      </c>
      <c r="F60" s="1">
        <f t="shared" si="1"/>
        <v>0.60437211050373574</v>
      </c>
      <c r="G60" s="1">
        <f t="shared" si="2"/>
        <v>4.5963074862847286E-2</v>
      </c>
      <c r="H60" s="1">
        <f t="shared" si="1"/>
        <v>0.5584090356408884</v>
      </c>
    </row>
    <row r="61" spans="1:8" x14ac:dyDescent="0.35">
      <c r="A61" s="3">
        <f t="shared" si="4"/>
        <v>43859</v>
      </c>
      <c r="B61" s="1">
        <v>0.64696564994048178</v>
      </c>
      <c r="C61" s="1">
        <f t="shared" si="3"/>
        <v>-2.2571431626692118E-2</v>
      </c>
      <c r="D61" s="1">
        <f t="shared" si="1"/>
        <v>0.64696564994048178</v>
      </c>
      <c r="E61" s="1">
        <f t="shared" si="0"/>
        <v>4.6941977630530034E-2</v>
      </c>
      <c r="F61" s="1">
        <f t="shared" si="1"/>
        <v>0.60002367230995179</v>
      </c>
      <c r="G61" s="1">
        <f t="shared" si="2"/>
        <v>3.8330472486616696E-2</v>
      </c>
      <c r="H61" s="1">
        <f t="shared" si="1"/>
        <v>0.5616931998233351</v>
      </c>
    </row>
    <row r="62" spans="1:8" x14ac:dyDescent="0.35">
      <c r="A62" s="3">
        <f t="shared" si="4"/>
        <v>43860</v>
      </c>
      <c r="B62" s="1">
        <v>0.59985129294935591</v>
      </c>
      <c r="C62" s="1">
        <f t="shared" si="3"/>
        <v>-6.6226142858648862E-2</v>
      </c>
      <c r="D62" s="1">
        <f t="shared" si="1"/>
        <v>0.59985129294935591</v>
      </c>
      <c r="E62" s="1">
        <f t="shared" si="0"/>
        <v>1.7236854341312266E-3</v>
      </c>
      <c r="F62" s="1">
        <f t="shared" si="1"/>
        <v>0.59812760751522465</v>
      </c>
      <c r="G62" s="1">
        <f t="shared" si="2"/>
        <v>3.3630724685195561E-2</v>
      </c>
      <c r="H62" s="1">
        <f t="shared" si="1"/>
        <v>0.56449688283002908</v>
      </c>
    </row>
    <row r="63" spans="1:8" x14ac:dyDescent="0.35">
      <c r="A63" s="3">
        <f t="shared" si="4"/>
        <v>43861</v>
      </c>
      <c r="B63" s="1">
        <v>0.57304656562056766</v>
      </c>
      <c r="C63" s="1">
        <f t="shared" si="3"/>
        <v>-8.7058732198208894E-2</v>
      </c>
      <c r="D63" s="1">
        <f t="shared" si="1"/>
        <v>0.57304656562056766</v>
      </c>
      <c r="E63" s="1">
        <f t="shared" si="0"/>
        <v>-2.6027961751164824E-2</v>
      </c>
      <c r="F63" s="1">
        <f t="shared" si="1"/>
        <v>0.57304656562056766</v>
      </c>
      <c r="G63" s="1">
        <f t="shared" si="2"/>
        <v>6.9679175101985437E-3</v>
      </c>
      <c r="H63" s="1">
        <f t="shared" si="1"/>
        <v>0.56607864811036912</v>
      </c>
    </row>
    <row r="64" spans="1:8" x14ac:dyDescent="0.35">
      <c r="A64" s="3">
        <f t="shared" si="4"/>
        <v>43862</v>
      </c>
      <c r="B64" s="1">
        <v>0.60137132149800587</v>
      </c>
      <c r="C64" s="1">
        <f t="shared" si="3"/>
        <v>-5.3266749751308955E-2</v>
      </c>
      <c r="D64" s="1">
        <f t="shared" si="1"/>
        <v>0.60137132149800587</v>
      </c>
      <c r="E64" s="1">
        <f t="shared" si="0"/>
        <v>1.3347197631021143E-3</v>
      </c>
      <c r="F64" s="1">
        <f t="shared" si="1"/>
        <v>0.60003660173490381</v>
      </c>
      <c r="G64" s="1">
        <f t="shared" si="2"/>
        <v>3.2423233456982198E-2</v>
      </c>
      <c r="H64" s="1">
        <f t="shared" si="1"/>
        <v>0.56761336827792164</v>
      </c>
    </row>
    <row r="65" spans="1:8" x14ac:dyDescent="0.35">
      <c r="A65" s="3">
        <f t="shared" si="4"/>
        <v>43863</v>
      </c>
      <c r="B65" s="1">
        <v>0.85440539514242275</v>
      </c>
      <c r="C65" s="1">
        <f t="shared" si="3"/>
        <v>0.19427355236279048</v>
      </c>
      <c r="D65" s="1">
        <f t="shared" si="1"/>
        <v>0.66013184277963233</v>
      </c>
      <c r="E65" s="1">
        <f t="shared" si="0"/>
        <v>6.2585644861262238E-2</v>
      </c>
      <c r="F65" s="1">
        <f t="shared" si="1"/>
        <v>0.59754619791837005</v>
      </c>
      <c r="G65" s="1">
        <f t="shared" si="2"/>
        <v>2.7594477274294791E-2</v>
      </c>
      <c r="H65" s="1">
        <f t="shared" si="1"/>
        <v>0.56995172064407529</v>
      </c>
    </row>
    <row r="66" spans="1:8" x14ac:dyDescent="0.35">
      <c r="A66" s="3">
        <f t="shared" si="4"/>
        <v>43864</v>
      </c>
      <c r="B66" s="1">
        <v>1.1294645182611676</v>
      </c>
      <c r="C66" s="1">
        <f t="shared" si="3"/>
        <v>0.44444744193737307</v>
      </c>
      <c r="D66" s="1">
        <f t="shared" si="1"/>
        <v>0.68501707632379449</v>
      </c>
      <c r="E66" s="1">
        <f t="shared" si="0"/>
        <v>9.3554250970290076E-2</v>
      </c>
      <c r="F66" s="1">
        <f t="shared" si="1"/>
        <v>0.59146282535350436</v>
      </c>
      <c r="G66" s="1">
        <f t="shared" si="2"/>
        <v>1.9669645385039462E-2</v>
      </c>
      <c r="H66" s="1">
        <f t="shared" si="1"/>
        <v>0.5717931799684649</v>
      </c>
    </row>
    <row r="67" spans="1:8" x14ac:dyDescent="0.35">
      <c r="A67" s="3">
        <f t="shared" si="4"/>
        <v>43865</v>
      </c>
      <c r="B67" s="1">
        <v>0.9917471105773914</v>
      </c>
      <c r="C67" s="1">
        <f t="shared" si="3"/>
        <v>0.27856087889643555</v>
      </c>
      <c r="D67" s="1">
        <f t="shared" si="1"/>
        <v>0.71318623168095585</v>
      </c>
      <c r="E67" s="1">
        <f t="shared" ref="E67:E130" si="5">alpha*E68+(1+alpha)/2*(D67-D68)</f>
        <v>0.13045087892060311</v>
      </c>
      <c r="F67" s="1">
        <f t="shared" si="1"/>
        <v>0.58273535276035271</v>
      </c>
      <c r="G67" s="1">
        <f t="shared" si="2"/>
        <v>9.7942296102530354E-3</v>
      </c>
      <c r="H67" s="1">
        <f t="shared" si="1"/>
        <v>0.57294112315009971</v>
      </c>
    </row>
    <row r="68" spans="1:8" x14ac:dyDescent="0.35">
      <c r="A68" s="3">
        <f t="shared" si="4"/>
        <v>43866</v>
      </c>
      <c r="B68" s="1">
        <v>0.8053950149134802</v>
      </c>
      <c r="C68" s="1">
        <f t="shared" si="3"/>
        <v>7.8304920902688369E-2</v>
      </c>
      <c r="D68" s="1">
        <f t="shared" ref="D68:H131" si="6">B68-MAX(0,C68)</f>
        <v>0.72709009401079183</v>
      </c>
      <c r="E68" s="1">
        <f t="shared" si="5"/>
        <v>0.15549550963575162</v>
      </c>
      <c r="F68" s="1">
        <f t="shared" si="6"/>
        <v>0.57159458437504018</v>
      </c>
      <c r="G68" s="1">
        <f t="shared" ref="G68:G131" si="7">alpha*G67+(1+alpha)/2*(F68-F67)</f>
        <v>-1.6633271813792511E-3</v>
      </c>
      <c r="H68" s="1">
        <f t="shared" si="6"/>
        <v>0.57159458437504018</v>
      </c>
    </row>
    <row r="69" spans="1:8" x14ac:dyDescent="0.35">
      <c r="A69" s="3">
        <f t="shared" si="4"/>
        <v>43867</v>
      </c>
      <c r="B69" s="1">
        <v>0.69901503131928955</v>
      </c>
      <c r="C69" s="1">
        <f t="shared" ref="C69:C132" si="8">alpha*C68+(1+alpha)/2*(B69-B68)</f>
        <v>-2.9958682374421758E-2</v>
      </c>
      <c r="D69" s="1">
        <f t="shared" si="6"/>
        <v>0.69901503131928955</v>
      </c>
      <c r="E69" s="1">
        <f t="shared" si="5"/>
        <v>0.13889001275154667</v>
      </c>
      <c r="F69" s="1">
        <f t="shared" si="6"/>
        <v>0.56012501856774288</v>
      </c>
      <c r="G69" s="1">
        <f t="shared" si="7"/>
        <v>-1.2578034732299459E-2</v>
      </c>
      <c r="H69" s="1">
        <f t="shared" si="6"/>
        <v>0.56012501856774288</v>
      </c>
    </row>
    <row r="70" spans="1:8" x14ac:dyDescent="0.35">
      <c r="A70" s="3">
        <f t="shared" si="4"/>
        <v>43868</v>
      </c>
      <c r="B70" s="1">
        <v>0.63163878914956928</v>
      </c>
      <c r="C70" s="1">
        <f t="shared" si="8"/>
        <v>-9.2561414284695887E-2</v>
      </c>
      <c r="D70" s="1">
        <f t="shared" si="6"/>
        <v>0.63163878914956928</v>
      </c>
      <c r="E70" s="1">
        <f t="shared" si="5"/>
        <v>8.0043653689936128E-2</v>
      </c>
      <c r="F70" s="1">
        <f t="shared" si="6"/>
        <v>0.55159513545963312</v>
      </c>
      <c r="G70" s="1">
        <f t="shared" si="7"/>
        <v>-1.9844694618932644E-2</v>
      </c>
      <c r="H70" s="1">
        <f t="shared" si="6"/>
        <v>0.55159513545963312</v>
      </c>
    </row>
    <row r="71" spans="1:8" x14ac:dyDescent="0.35">
      <c r="A71" s="3">
        <f t="shared" si="4"/>
        <v>43869</v>
      </c>
      <c r="B71" s="1">
        <v>0.57676412705900082</v>
      </c>
      <c r="C71" s="1">
        <f t="shared" si="8"/>
        <v>-0.13843617047551585</v>
      </c>
      <c r="D71" s="1">
        <f t="shared" si="6"/>
        <v>0.57676412705900082</v>
      </c>
      <c r="E71" s="1">
        <f t="shared" si="5"/>
        <v>2.9434369111096197E-2</v>
      </c>
      <c r="F71" s="1">
        <f t="shared" si="6"/>
        <v>0.54732975794790462</v>
      </c>
      <c r="G71" s="1">
        <f t="shared" si="7"/>
        <v>-2.2461768377551386E-2</v>
      </c>
      <c r="H71" s="1">
        <f t="shared" si="6"/>
        <v>0.54732975794790462</v>
      </c>
    </row>
    <row r="72" spans="1:8" x14ac:dyDescent="0.35">
      <c r="A72" s="3">
        <f t="shared" si="4"/>
        <v>43870</v>
      </c>
      <c r="B72" s="1">
        <v>0.54689071213682705</v>
      </c>
      <c r="C72" s="1">
        <f t="shared" si="8"/>
        <v>-0.1568066195524444</v>
      </c>
      <c r="D72" s="1">
        <f t="shared" si="6"/>
        <v>0.54689071213682705</v>
      </c>
      <c r="E72" s="1">
        <f t="shared" si="5"/>
        <v>7.3644026865290948E-4</v>
      </c>
      <c r="F72" s="1">
        <f t="shared" si="6"/>
        <v>0.54615427186817411</v>
      </c>
      <c r="G72" s="1">
        <f t="shared" si="7"/>
        <v>-2.1908541100975645E-2</v>
      </c>
      <c r="H72" s="1">
        <f t="shared" si="6"/>
        <v>0.54615427186817411</v>
      </c>
    </row>
    <row r="73" spans="1:8" x14ac:dyDescent="0.35">
      <c r="A73" s="3">
        <f t="shared" si="4"/>
        <v>43871</v>
      </c>
      <c r="B73" s="1">
        <v>0.55419815337065825</v>
      </c>
      <c r="C73" s="1">
        <f t="shared" si="8"/>
        <v>-0.13801271089844855</v>
      </c>
      <c r="D73" s="1">
        <f t="shared" si="6"/>
        <v>0.55419815337065825</v>
      </c>
      <c r="E73" s="1">
        <f t="shared" si="5"/>
        <v>8.3998404932058828E-3</v>
      </c>
      <c r="F73" s="1">
        <f t="shared" si="6"/>
        <v>0.5457983128774524</v>
      </c>
      <c r="G73" s="1">
        <f t="shared" si="7"/>
        <v>-2.0608011046972127E-2</v>
      </c>
      <c r="H73" s="1">
        <f t="shared" si="6"/>
        <v>0.5457983128774524</v>
      </c>
    </row>
    <row r="74" spans="1:8" x14ac:dyDescent="0.35">
      <c r="A74" s="3">
        <f t="shared" si="4"/>
        <v>43872</v>
      </c>
      <c r="B74" s="1">
        <v>0.54023714714675497</v>
      </c>
      <c r="C74" s="1">
        <f t="shared" si="8"/>
        <v>-0.14109922607157183</v>
      </c>
      <c r="D74" s="1">
        <f t="shared" si="6"/>
        <v>0.54023714714675497</v>
      </c>
      <c r="E74" s="1">
        <f t="shared" si="5"/>
        <v>-5.4460843214065163E-3</v>
      </c>
      <c r="F74" s="1">
        <f t="shared" si="6"/>
        <v>0.54023714714675497</v>
      </c>
      <c r="G74" s="1">
        <f t="shared" si="7"/>
        <v>-2.4415032234245491E-2</v>
      </c>
      <c r="H74" s="1">
        <f t="shared" si="6"/>
        <v>0.54023714714675497</v>
      </c>
    </row>
    <row r="75" spans="1:8" x14ac:dyDescent="0.35">
      <c r="A75" s="3">
        <f t="shared" si="4"/>
        <v>43873</v>
      </c>
      <c r="B75" s="1">
        <v>0.50607011607994379</v>
      </c>
      <c r="C75" s="1">
        <f t="shared" si="8"/>
        <v>-0.1634025515180097</v>
      </c>
      <c r="D75" s="1">
        <f t="shared" si="6"/>
        <v>0.50607011607994379</v>
      </c>
      <c r="E75" s="1">
        <f t="shared" si="5"/>
        <v>-4.1439839700770031E-2</v>
      </c>
      <c r="F75" s="1">
        <f t="shared" si="6"/>
        <v>0.50607011607994379</v>
      </c>
      <c r="G75" s="1">
        <f t="shared" si="7"/>
        <v>-5.5469672218482841E-2</v>
      </c>
      <c r="H75" s="1">
        <f t="shared" si="6"/>
        <v>0.50607011607994379</v>
      </c>
    </row>
    <row r="76" spans="1:8" x14ac:dyDescent="0.35">
      <c r="A76" s="3">
        <f t="shared" si="4"/>
        <v>43874</v>
      </c>
      <c r="B76" s="1">
        <v>0.4946509582444461</v>
      </c>
      <c r="C76" s="1">
        <f t="shared" si="8"/>
        <v>-0.16213829957082548</v>
      </c>
      <c r="D76" s="1">
        <f t="shared" si="6"/>
        <v>0.4946509582444461</v>
      </c>
      <c r="E76" s="1">
        <f t="shared" si="5"/>
        <v>-5.6681923370201677E-2</v>
      </c>
      <c r="F76" s="1">
        <f t="shared" si="6"/>
        <v>0.4946509582444461</v>
      </c>
      <c r="G76" s="1">
        <f t="shared" si="7"/>
        <v>-6.2300386218763146E-2</v>
      </c>
      <c r="H76" s="1">
        <f t="shared" si="6"/>
        <v>0.4946509582444461</v>
      </c>
    </row>
    <row r="77" spans="1:8" x14ac:dyDescent="0.35">
      <c r="A77" s="3">
        <f t="shared" si="4"/>
        <v>43875</v>
      </c>
      <c r="B77" s="1">
        <v>0.47750266369589278</v>
      </c>
      <c r="C77" s="1">
        <f t="shared" si="8"/>
        <v>-0.16648316060599616</v>
      </c>
      <c r="D77" s="1">
        <f t="shared" si="6"/>
        <v>0.47750266369589278</v>
      </c>
      <c r="E77" s="1">
        <f t="shared" si="5"/>
        <v>-7.9121250673712701E-2</v>
      </c>
      <c r="F77" s="1">
        <f t="shared" si="6"/>
        <v>0.47750266369589278</v>
      </c>
      <c r="G77" s="1">
        <f t="shared" si="7"/>
        <v>-7.4133090755338485E-2</v>
      </c>
      <c r="H77" s="1">
        <f t="shared" si="6"/>
        <v>0.47750266369589278</v>
      </c>
    </row>
    <row r="78" spans="1:8" x14ac:dyDescent="0.35">
      <c r="A78" s="3">
        <f t="shared" si="4"/>
        <v>43876</v>
      </c>
      <c r="B78" s="1">
        <v>0.45970815700388101</v>
      </c>
      <c r="C78" s="1">
        <f t="shared" si="8"/>
        <v>-0.17112413625160777</v>
      </c>
      <c r="D78" s="1">
        <f t="shared" si="6"/>
        <v>0.45970815700388101</v>
      </c>
      <c r="E78" s="1">
        <f t="shared" si="5"/>
        <v>-0.10405239282678272</v>
      </c>
      <c r="F78" s="1">
        <f t="shared" si="6"/>
        <v>0.45970815700388101</v>
      </c>
      <c r="G78" s="1">
        <f t="shared" si="7"/>
        <v>-8.5700321639749444E-2</v>
      </c>
      <c r="H78" s="1">
        <f t="shared" si="6"/>
        <v>0.45970815700388101</v>
      </c>
    </row>
    <row r="79" spans="1:8" x14ac:dyDescent="0.35">
      <c r="A79" s="3">
        <f t="shared" si="4"/>
        <v>43877</v>
      </c>
      <c r="B79" s="1">
        <v>0.45612197063272403</v>
      </c>
      <c r="C79" s="1">
        <f t="shared" si="8"/>
        <v>-0.1617415304149758</v>
      </c>
      <c r="D79" s="1">
        <f t="shared" si="6"/>
        <v>0.45612197063272403</v>
      </c>
      <c r="E79" s="1">
        <f t="shared" si="5"/>
        <v>-0.11622064563137439</v>
      </c>
      <c r="F79" s="1">
        <f t="shared" si="6"/>
        <v>0.45612197063272403</v>
      </c>
      <c r="G79" s="1">
        <f t="shared" si="7"/>
        <v>-8.2724501899006847E-2</v>
      </c>
      <c r="H79" s="1">
        <f t="shared" si="6"/>
        <v>0.45612197063272403</v>
      </c>
    </row>
    <row r="80" spans="1:8" x14ac:dyDescent="0.35">
      <c r="A80" s="3">
        <f t="shared" si="4"/>
        <v>43878</v>
      </c>
      <c r="B80" s="1">
        <v>0.45664141651363127</v>
      </c>
      <c r="C80" s="1">
        <f t="shared" si="8"/>
        <v>-0.1491109489734794</v>
      </c>
      <c r="D80" s="1">
        <f t="shared" si="6"/>
        <v>0.45664141651363127</v>
      </c>
      <c r="E80" s="1">
        <f t="shared" si="5"/>
        <v>-0.12510343672540666</v>
      </c>
      <c r="F80" s="1">
        <f t="shared" si="6"/>
        <v>0.45664141651363127</v>
      </c>
      <c r="G80" s="1">
        <f t="shared" si="7"/>
        <v>-7.6020197596208122E-2</v>
      </c>
      <c r="H80" s="1">
        <f t="shared" si="6"/>
        <v>0.45664141651363127</v>
      </c>
    </row>
    <row r="81" spans="1:8" x14ac:dyDescent="0.35">
      <c r="A81" s="3">
        <f t="shared" si="4"/>
        <v>43879</v>
      </c>
      <c r="B81" s="1">
        <v>0.64326985409503779</v>
      </c>
      <c r="C81" s="1">
        <f t="shared" si="8"/>
        <v>4.1702243371635306E-2</v>
      </c>
      <c r="D81" s="1">
        <f t="shared" si="6"/>
        <v>0.60156761072340248</v>
      </c>
      <c r="E81" s="1">
        <f t="shared" si="5"/>
        <v>1.5554621839457421E-2</v>
      </c>
      <c r="F81" s="1">
        <f t="shared" si="6"/>
        <v>0.58601298888394504</v>
      </c>
      <c r="G81" s="1">
        <f t="shared" si="7"/>
        <v>5.4201455629934489E-2</v>
      </c>
      <c r="H81" s="1">
        <f t="shared" si="6"/>
        <v>0.53181153325401054</v>
      </c>
    </row>
    <row r="82" spans="1:8" x14ac:dyDescent="0.35">
      <c r="A82" s="3">
        <f t="shared" si="4"/>
        <v>43880</v>
      </c>
      <c r="B82" s="1">
        <v>0.55577933042232786</v>
      </c>
      <c r="C82" s="1">
        <f t="shared" si="8"/>
        <v>-4.5635053916220657E-2</v>
      </c>
      <c r="D82" s="1">
        <f t="shared" si="6"/>
        <v>0.55577933042232786</v>
      </c>
      <c r="E82" s="1">
        <f t="shared" si="5"/>
        <v>-3.0828754540893955E-2</v>
      </c>
      <c r="F82" s="1">
        <f t="shared" si="6"/>
        <v>0.55577933042232786</v>
      </c>
      <c r="G82" s="1">
        <f t="shared" si="7"/>
        <v>2.1036450188382863E-2</v>
      </c>
      <c r="H82" s="1">
        <f t="shared" si="6"/>
        <v>0.53474288023394501</v>
      </c>
    </row>
    <row r="83" spans="1:8" x14ac:dyDescent="0.35">
      <c r="A83" s="3">
        <f t="shared" si="4"/>
        <v>43881</v>
      </c>
      <c r="B83" s="1">
        <v>0.50147285467356095</v>
      </c>
      <c r="C83" s="1">
        <f t="shared" si="8"/>
        <v>-9.4482407780692251E-2</v>
      </c>
      <c r="D83" s="1">
        <f t="shared" si="6"/>
        <v>0.50147285467356095</v>
      </c>
      <c r="E83" s="1">
        <f t="shared" si="5"/>
        <v>-8.9836472917926583E-2</v>
      </c>
      <c r="F83" s="1">
        <f t="shared" si="6"/>
        <v>0.50147285467356095</v>
      </c>
      <c r="G83" s="1">
        <f t="shared" si="7"/>
        <v>-3.2811266483933996E-2</v>
      </c>
      <c r="H83" s="1">
        <f t="shared" si="6"/>
        <v>0.50147285467356095</v>
      </c>
    </row>
    <row r="84" spans="1:8" x14ac:dyDescent="0.35">
      <c r="A84" s="3">
        <f t="shared" si="4"/>
        <v>43882</v>
      </c>
      <c r="B84" s="1">
        <v>0.47334835461701985</v>
      </c>
      <c r="C84" s="1">
        <f t="shared" si="8"/>
        <v>-0.11446605850156115</v>
      </c>
      <c r="D84" s="1">
        <f t="shared" si="6"/>
        <v>0.47334835461701985</v>
      </c>
      <c r="E84" s="1">
        <f t="shared" si="5"/>
        <v>-0.12638519375388907</v>
      </c>
      <c r="F84" s="1">
        <f t="shared" si="6"/>
        <v>0.47334835461701985</v>
      </c>
      <c r="G84" s="1">
        <f t="shared" si="7"/>
        <v>-5.7420252802059757E-2</v>
      </c>
      <c r="H84" s="1">
        <f t="shared" si="6"/>
        <v>0.47334835461701985</v>
      </c>
    </row>
    <row r="85" spans="1:8" x14ac:dyDescent="0.35">
      <c r="A85" s="3">
        <f t="shared" si="4"/>
        <v>43883</v>
      </c>
      <c r="B85" s="1">
        <v>0.50624933929991045</v>
      </c>
      <c r="C85" s="1">
        <f t="shared" si="8"/>
        <v>-7.4213906356661863E-2</v>
      </c>
      <c r="D85" s="1">
        <f t="shared" si="6"/>
        <v>0.50624933929991045</v>
      </c>
      <c r="E85" s="1">
        <f t="shared" si="5"/>
        <v>-0.10239783350984527</v>
      </c>
      <c r="F85" s="1">
        <f t="shared" si="6"/>
        <v>0.50624933929991045</v>
      </c>
      <c r="G85" s="1">
        <f t="shared" si="7"/>
        <v>-2.1446536084623075E-2</v>
      </c>
      <c r="H85" s="1">
        <f t="shared" si="6"/>
        <v>0.50624933929991045</v>
      </c>
    </row>
    <row r="86" spans="1:8" x14ac:dyDescent="0.35">
      <c r="A86" s="3">
        <f t="shared" si="4"/>
        <v>43884</v>
      </c>
      <c r="B86" s="1">
        <v>0.65085766674050249</v>
      </c>
      <c r="C86" s="1">
        <f t="shared" si="8"/>
        <v>7.053765178165762E-2</v>
      </c>
      <c r="D86" s="1">
        <f t="shared" si="6"/>
        <v>0.58032001495884489</v>
      </c>
      <c r="E86" s="1">
        <f t="shared" si="5"/>
        <v>-3.3626819662833374E-2</v>
      </c>
      <c r="F86" s="1">
        <f t="shared" si="6"/>
        <v>0.58032001495884489</v>
      </c>
      <c r="G86" s="1">
        <f t="shared" si="7"/>
        <v>5.1454979443448047E-2</v>
      </c>
      <c r="H86" s="1">
        <f t="shared" si="6"/>
        <v>0.52886503551539688</v>
      </c>
    </row>
    <row r="87" spans="1:8" x14ac:dyDescent="0.35">
      <c r="A87" s="3">
        <f t="shared" si="4"/>
        <v>43885</v>
      </c>
      <c r="B87" s="1">
        <v>0.67841427133624688</v>
      </c>
      <c r="C87" s="1">
        <f t="shared" si="8"/>
        <v>9.1770559821437281E-2</v>
      </c>
      <c r="D87" s="1">
        <f t="shared" si="6"/>
        <v>0.58664371151480954</v>
      </c>
      <c r="E87" s="1">
        <f t="shared" si="5"/>
        <v>-2.9773255921856642E-2</v>
      </c>
      <c r="F87" s="1">
        <f t="shared" si="6"/>
        <v>0.58664371151480954</v>
      </c>
      <c r="G87" s="1">
        <f t="shared" si="7"/>
        <v>5.368241392030542E-2</v>
      </c>
      <c r="H87" s="1">
        <f t="shared" si="6"/>
        <v>0.53296129759450417</v>
      </c>
    </row>
    <row r="88" spans="1:8" x14ac:dyDescent="0.35">
      <c r="A88" s="3">
        <f t="shared" si="4"/>
        <v>43886</v>
      </c>
      <c r="B88" s="1">
        <v>0.63033719533313937</v>
      </c>
      <c r="C88" s="1">
        <f t="shared" si="8"/>
        <v>3.8613582181838503E-2</v>
      </c>
      <c r="D88" s="1">
        <f t="shared" si="6"/>
        <v>0.59172361315130084</v>
      </c>
      <c r="E88" s="1">
        <f t="shared" si="5"/>
        <v>-2.690146010457704E-2</v>
      </c>
      <c r="F88" s="1">
        <f t="shared" si="6"/>
        <v>0.59172361315130084</v>
      </c>
      <c r="G88" s="1">
        <f t="shared" si="7"/>
        <v>5.4545638201405393E-2</v>
      </c>
      <c r="H88" s="1">
        <f t="shared" si="6"/>
        <v>0.5371779749498955</v>
      </c>
    </row>
    <row r="89" spans="1:8" x14ac:dyDescent="0.35">
      <c r="A89" s="3">
        <f t="shared" si="4"/>
        <v>43887</v>
      </c>
      <c r="B89" s="1">
        <v>0.60017161963954557</v>
      </c>
      <c r="C89" s="1">
        <f t="shared" si="8"/>
        <v>6.6831969131165882E-3</v>
      </c>
      <c r="D89" s="1">
        <f t="shared" si="6"/>
        <v>0.59348842272642899</v>
      </c>
      <c r="E89" s="1">
        <f t="shared" si="5"/>
        <v>-2.7246303663260755E-2</v>
      </c>
      <c r="F89" s="1">
        <f t="shared" si="6"/>
        <v>0.59348842272642899</v>
      </c>
      <c r="G89" s="1">
        <f t="shared" si="7"/>
        <v>5.2153344552360835E-2</v>
      </c>
      <c r="H89" s="1">
        <f t="shared" si="6"/>
        <v>0.54133507817406812</v>
      </c>
    </row>
    <row r="90" spans="1:8" x14ac:dyDescent="0.35">
      <c r="A90" s="3">
        <f t="shared" si="4"/>
        <v>43888</v>
      </c>
      <c r="B90" s="1">
        <v>0.56199105175786235</v>
      </c>
      <c r="C90" s="1">
        <f t="shared" si="8"/>
        <v>-3.0566839441487262E-2</v>
      </c>
      <c r="D90" s="1">
        <f t="shared" si="6"/>
        <v>0.56199105175786235</v>
      </c>
      <c r="E90" s="1">
        <f t="shared" si="5"/>
        <v>-6.2229754832979614E-2</v>
      </c>
      <c r="F90" s="1">
        <f t="shared" si="6"/>
        <v>0.56199105175786235</v>
      </c>
      <c r="G90" s="1">
        <f t="shared" si="7"/>
        <v>1.7925624153688386E-2</v>
      </c>
      <c r="H90" s="1">
        <f t="shared" si="6"/>
        <v>0.54406542760417398</v>
      </c>
    </row>
    <row r="91" spans="1:8" x14ac:dyDescent="0.35">
      <c r="A91" s="3">
        <f t="shared" si="4"/>
        <v>43889</v>
      </c>
      <c r="B91" s="1">
        <v>0.53210338612492702</v>
      </c>
      <c r="C91" s="1">
        <f t="shared" si="8"/>
        <v>-5.7041204655075964E-2</v>
      </c>
      <c r="D91" s="1">
        <f t="shared" si="6"/>
        <v>0.53210338612492702</v>
      </c>
      <c r="E91" s="1">
        <f t="shared" si="5"/>
        <v>-9.8374738383437688E-2</v>
      </c>
      <c r="F91" s="1">
        <f t="shared" si="6"/>
        <v>0.53210338612492702</v>
      </c>
      <c r="G91" s="1">
        <f t="shared" si="7"/>
        <v>-1.2185675829538493E-2</v>
      </c>
      <c r="H91" s="1">
        <f t="shared" si="6"/>
        <v>0.53210338612492702</v>
      </c>
    </row>
    <row r="92" spans="1:8" x14ac:dyDescent="0.35">
      <c r="A92" s="3">
        <f t="shared" si="4"/>
        <v>43890</v>
      </c>
      <c r="B92" s="1">
        <v>0.50214238186182081</v>
      </c>
      <c r="C92" s="1">
        <f t="shared" si="8"/>
        <v>-8.1600580909185011E-2</v>
      </c>
      <c r="D92" s="1">
        <f t="shared" si="6"/>
        <v>0.50214238186182081</v>
      </c>
      <c r="E92" s="1">
        <f t="shared" si="5"/>
        <v>-0.13752670809370532</v>
      </c>
      <c r="F92" s="1">
        <f t="shared" si="6"/>
        <v>0.50214238186182081</v>
      </c>
      <c r="G92" s="1">
        <f t="shared" si="7"/>
        <v>-4.0109216745562844E-2</v>
      </c>
      <c r="H92" s="1">
        <f t="shared" si="6"/>
        <v>0.50214238186182081</v>
      </c>
    </row>
    <row r="93" spans="1:8" x14ac:dyDescent="0.35">
      <c r="A93" s="3">
        <f t="shared" si="4"/>
        <v>43891</v>
      </c>
      <c r="B93" s="1">
        <v>0.57434666682329605</v>
      </c>
      <c r="C93" s="1">
        <f t="shared" si="8"/>
        <v>-5.9839130655762185E-3</v>
      </c>
      <c r="D93" s="1">
        <f t="shared" si="6"/>
        <v>0.57434666682329605</v>
      </c>
      <c r="E93" s="1">
        <f t="shared" si="5"/>
        <v>-7.3546036560308531E-2</v>
      </c>
      <c r="F93" s="1">
        <f t="shared" si="6"/>
        <v>0.57434666682329605</v>
      </c>
      <c r="G93" s="1">
        <f t="shared" si="7"/>
        <v>3.2395598785774284E-2</v>
      </c>
      <c r="H93" s="1">
        <f t="shared" si="6"/>
        <v>0.5419510680375218</v>
      </c>
    </row>
    <row r="94" spans="1:8" x14ac:dyDescent="0.35">
      <c r="A94" s="3">
        <f t="shared" si="4"/>
        <v>43892</v>
      </c>
      <c r="B94" s="1">
        <v>0.68483465787854636</v>
      </c>
      <c r="C94" s="1">
        <f t="shared" si="8"/>
        <v>0.10080957180502043</v>
      </c>
      <c r="D94" s="1">
        <f t="shared" si="6"/>
        <v>0.58402508607352588</v>
      </c>
      <c r="E94" s="1">
        <f t="shared" si="5"/>
        <v>-6.9438441115634936E-2</v>
      </c>
      <c r="F94" s="1">
        <f t="shared" si="6"/>
        <v>0.58402508607352588</v>
      </c>
      <c r="G94" s="1">
        <f t="shared" si="7"/>
        <v>3.928140740518743E-2</v>
      </c>
      <c r="H94" s="1">
        <f t="shared" si="6"/>
        <v>0.54474367866833839</v>
      </c>
    </row>
    <row r="95" spans="1:8" x14ac:dyDescent="0.35">
      <c r="A95" s="3">
        <f t="shared" si="4"/>
        <v>43893</v>
      </c>
      <c r="B95" s="1">
        <v>0.68287094515386837</v>
      </c>
      <c r="C95" s="1">
        <f t="shared" si="8"/>
        <v>9.1358780422141322E-2</v>
      </c>
      <c r="D95" s="1">
        <f t="shared" si="6"/>
        <v>0.59151216473172707</v>
      </c>
      <c r="E95" s="1">
        <f t="shared" si="5"/>
        <v>-6.7277976115801386E-2</v>
      </c>
      <c r="F95" s="1">
        <f t="shared" si="6"/>
        <v>0.59151216473172707</v>
      </c>
      <c r="G95" s="1">
        <f t="shared" si="7"/>
        <v>4.3541615058317024E-2</v>
      </c>
      <c r="H95" s="1">
        <f t="shared" si="6"/>
        <v>0.54797054967341008</v>
      </c>
    </row>
    <row r="96" spans="1:8" x14ac:dyDescent="0.35">
      <c r="A96" s="3">
        <f t="shared" si="4"/>
        <v>43894</v>
      </c>
      <c r="B96" s="1">
        <v>0.68368874074768682</v>
      </c>
      <c r="C96" s="1">
        <f t="shared" si="8"/>
        <v>8.529400014953098E-2</v>
      </c>
      <c r="D96" s="1">
        <f t="shared" si="6"/>
        <v>0.59839474059815578</v>
      </c>
      <c r="E96" s="1">
        <f t="shared" si="5"/>
        <v>-6.5571347939852698E-2</v>
      </c>
      <c r="F96" s="1">
        <f t="shared" si="6"/>
        <v>0.59839474059815578</v>
      </c>
      <c r="G96" s="1">
        <f t="shared" si="7"/>
        <v>4.6900473200380884E-2</v>
      </c>
      <c r="H96" s="1">
        <f t="shared" si="6"/>
        <v>0.55149426739777485</v>
      </c>
    </row>
    <row r="97" spans="1:8" x14ac:dyDescent="0.35">
      <c r="A97" s="3">
        <f t="shared" si="4"/>
        <v>43895</v>
      </c>
      <c r="B97" s="1">
        <v>0.71967919665909552</v>
      </c>
      <c r="C97" s="1">
        <f t="shared" si="8"/>
        <v>0.11353776395304704</v>
      </c>
      <c r="D97" s="1">
        <f t="shared" si="6"/>
        <v>0.60614143270604848</v>
      </c>
      <c r="E97" s="1">
        <f t="shared" si="5"/>
        <v>-6.2827196525411869E-2</v>
      </c>
      <c r="F97" s="1">
        <f t="shared" si="6"/>
        <v>0.60614143270604848</v>
      </c>
      <c r="G97" s="1">
        <f t="shared" si="7"/>
        <v>5.0839128864199043E-2</v>
      </c>
      <c r="H97" s="1">
        <f t="shared" si="6"/>
        <v>0.55530230384184942</v>
      </c>
    </row>
    <row r="98" spans="1:8" x14ac:dyDescent="0.35">
      <c r="A98" s="3">
        <f t="shared" si="4"/>
        <v>43896</v>
      </c>
      <c r="B98" s="1">
        <v>0.70363036393532397</v>
      </c>
      <c r="C98" s="1">
        <f t="shared" si="8"/>
        <v>8.9575430159938393E-2</v>
      </c>
      <c r="D98" s="1">
        <f t="shared" si="6"/>
        <v>0.61405493377538556</v>
      </c>
      <c r="E98" s="1">
        <f t="shared" si="5"/>
        <v>-5.9686974860729651E-2</v>
      </c>
      <c r="F98" s="1">
        <f t="shared" si="6"/>
        <v>0.61405493377538556</v>
      </c>
      <c r="G98" s="1">
        <f t="shared" si="7"/>
        <v>5.4642938978621054E-2</v>
      </c>
      <c r="H98" s="1">
        <f t="shared" si="6"/>
        <v>0.55941199479676451</v>
      </c>
    </row>
    <row r="99" spans="1:8" x14ac:dyDescent="0.35">
      <c r="A99" s="3">
        <f t="shared" ref="A99:A162" si="9">A98+1</f>
        <v>43897</v>
      </c>
      <c r="B99" s="1">
        <v>0.66497366320291951</v>
      </c>
      <c r="C99" s="1">
        <f t="shared" si="8"/>
        <v>4.5650198443003727E-2</v>
      </c>
      <c r="D99" s="1">
        <f t="shared" si="6"/>
        <v>0.61932346475991573</v>
      </c>
      <c r="E99" s="1">
        <f t="shared" si="5"/>
        <v>-5.9044339230399305E-2</v>
      </c>
      <c r="F99" s="1">
        <f t="shared" si="6"/>
        <v>0.61932346475991573</v>
      </c>
      <c r="G99" s="1">
        <f t="shared" si="7"/>
        <v>5.5615679627834771E-2</v>
      </c>
      <c r="H99" s="1">
        <f t="shared" si="6"/>
        <v>0.56370778513208097</v>
      </c>
    </row>
    <row r="100" spans="1:8" x14ac:dyDescent="0.35">
      <c r="A100" s="3">
        <f t="shared" si="9"/>
        <v>43898</v>
      </c>
      <c r="B100" s="1">
        <v>0.71159724057822127</v>
      </c>
      <c r="C100" s="1">
        <f t="shared" si="8"/>
        <v>8.7101626783506386E-2</v>
      </c>
      <c r="D100" s="1">
        <f t="shared" si="6"/>
        <v>0.62449561379471485</v>
      </c>
      <c r="E100" s="1">
        <f t="shared" si="5"/>
        <v>-5.8449887334492051E-2</v>
      </c>
      <c r="F100" s="1">
        <f t="shared" si="6"/>
        <v>0.62449561379471485</v>
      </c>
      <c r="G100" s="1">
        <f t="shared" si="7"/>
        <v>5.6422697101741325E-2</v>
      </c>
      <c r="H100" s="1">
        <f t="shared" si="6"/>
        <v>0.56807291669297355</v>
      </c>
    </row>
    <row r="101" spans="1:8" x14ac:dyDescent="0.35">
      <c r="A101" s="3">
        <f t="shared" si="9"/>
        <v>43899</v>
      </c>
      <c r="B101" s="1">
        <v>1.0634072699848358</v>
      </c>
      <c r="C101" s="1">
        <f t="shared" si="8"/>
        <v>0.41918615807860993</v>
      </c>
      <c r="D101" s="1">
        <f t="shared" si="6"/>
        <v>0.64422111190622589</v>
      </c>
      <c r="E101" s="1">
        <f t="shared" si="5"/>
        <v>-4.2663886921256951E-2</v>
      </c>
      <c r="F101" s="1">
        <f t="shared" si="6"/>
        <v>0.64422111190622589</v>
      </c>
      <c r="G101" s="1">
        <f t="shared" si="7"/>
        <v>7.1176786751440096E-2</v>
      </c>
      <c r="H101" s="1">
        <f t="shared" si="6"/>
        <v>0.57304432515478576</v>
      </c>
    </row>
    <row r="102" spans="1:8" x14ac:dyDescent="0.35">
      <c r="A102" s="3">
        <f t="shared" si="9"/>
        <v>43900</v>
      </c>
      <c r="B102" s="1">
        <v>1.3838857072816706</v>
      </c>
      <c r="C102" s="1">
        <f t="shared" si="8"/>
        <v>0.69620769212091771</v>
      </c>
      <c r="D102" s="1">
        <f t="shared" si="6"/>
        <v>0.68767801516075289</v>
      </c>
      <c r="E102" s="1">
        <f t="shared" si="5"/>
        <v>-9.0445139326995883E-4</v>
      </c>
      <c r="F102" s="1">
        <f t="shared" si="6"/>
        <v>0.68767801516075289</v>
      </c>
      <c r="G102" s="1">
        <f t="shared" si="7"/>
        <v>0.10766579712756433</v>
      </c>
      <c r="H102" s="1">
        <f t="shared" si="6"/>
        <v>0.58001221803318859</v>
      </c>
    </row>
    <row r="103" spans="1:8" x14ac:dyDescent="0.35">
      <c r="A103" s="3">
        <f t="shared" si="9"/>
        <v>43901</v>
      </c>
      <c r="B103" s="1">
        <v>1.09663130661492</v>
      </c>
      <c r="C103" s="1">
        <f t="shared" si="8"/>
        <v>0.36750975457010154</v>
      </c>
      <c r="D103" s="1">
        <f t="shared" si="6"/>
        <v>0.72912155204481843</v>
      </c>
      <c r="E103" s="1">
        <f t="shared" si="5"/>
        <v>4.2145894981235818E-2</v>
      </c>
      <c r="F103" s="1">
        <f t="shared" si="6"/>
        <v>0.68697565706358266</v>
      </c>
      <c r="G103" s="1">
        <f t="shared" si="7"/>
        <v>9.8914842674470663E-2</v>
      </c>
      <c r="H103" s="1">
        <f t="shared" si="6"/>
        <v>0.58806081438911195</v>
      </c>
    </row>
    <row r="104" spans="1:8" x14ac:dyDescent="0.35">
      <c r="A104" s="3">
        <f t="shared" si="9"/>
        <v>43902</v>
      </c>
      <c r="B104" s="1">
        <v>0.93469573680923312</v>
      </c>
      <c r="C104" s="1">
        <f t="shared" si="8"/>
        <v>0.1840835370393703</v>
      </c>
      <c r="D104" s="1">
        <f t="shared" si="6"/>
        <v>0.75061219976986282</v>
      </c>
      <c r="E104" s="1">
        <f t="shared" si="5"/>
        <v>6.7925019909828147E-2</v>
      </c>
      <c r="F104" s="1">
        <f t="shared" si="6"/>
        <v>0.68268717986003469</v>
      </c>
      <c r="G104" s="1">
        <f t="shared" si="7"/>
        <v>8.7368570165470449E-2</v>
      </c>
      <c r="H104" s="1">
        <f t="shared" si="6"/>
        <v>0.59531860969456418</v>
      </c>
    </row>
    <row r="105" spans="1:8" x14ac:dyDescent="0.35">
      <c r="A105" s="3">
        <f t="shared" si="9"/>
        <v>43903</v>
      </c>
      <c r="B105" s="1">
        <v>0.82940139738917906</v>
      </c>
      <c r="C105" s="1">
        <f t="shared" si="8"/>
        <v>6.8931470069615516E-2</v>
      </c>
      <c r="D105" s="1">
        <f t="shared" si="6"/>
        <v>0.76046992731956353</v>
      </c>
      <c r="E105" s="1">
        <f t="shared" si="5"/>
        <v>8.3689819109637922E-2</v>
      </c>
      <c r="F105" s="1">
        <f t="shared" si="6"/>
        <v>0.67678010820992562</v>
      </c>
      <c r="G105" s="1">
        <f t="shared" si="7"/>
        <v>7.5130370939830188E-2</v>
      </c>
      <c r="H105" s="1">
        <f t="shared" si="6"/>
        <v>0.60164973727009541</v>
      </c>
    </row>
    <row r="106" spans="1:8" x14ac:dyDescent="0.35">
      <c r="A106" s="3">
        <f t="shared" si="9"/>
        <v>43904</v>
      </c>
      <c r="B106" s="1">
        <v>0.74678201799460264</v>
      </c>
      <c r="C106" s="1">
        <f t="shared" si="8"/>
        <v>-1.5759542852885458E-2</v>
      </c>
      <c r="D106" s="1">
        <f t="shared" si="6"/>
        <v>0.74678201799460264</v>
      </c>
      <c r="E106" s="1">
        <f t="shared" si="5"/>
        <v>7.6232655550662776E-2</v>
      </c>
      <c r="F106" s="1">
        <f t="shared" si="6"/>
        <v>0.67054936244393981</v>
      </c>
      <c r="G106" s="1">
        <f t="shared" si="7"/>
        <v>6.3498500319581583E-2</v>
      </c>
      <c r="H106" s="1">
        <f t="shared" si="6"/>
        <v>0.60705086212435821</v>
      </c>
    </row>
    <row r="107" spans="1:8" x14ac:dyDescent="0.35">
      <c r="A107" s="3">
        <f t="shared" si="9"/>
        <v>43905</v>
      </c>
      <c r="B107" s="1">
        <v>0.6869369575384664</v>
      </c>
      <c r="C107" s="1">
        <f t="shared" si="8"/>
        <v>-7.2178447827950187E-2</v>
      </c>
      <c r="D107" s="1">
        <f t="shared" si="6"/>
        <v>0.6869369575384664</v>
      </c>
      <c r="E107" s="1">
        <f t="shared" si="5"/>
        <v>2.0142470120682855E-2</v>
      </c>
      <c r="F107" s="1">
        <f t="shared" si="6"/>
        <v>0.66679448741778358</v>
      </c>
      <c r="G107" s="1">
        <f t="shared" si="7"/>
        <v>5.5122045582937589E-2</v>
      </c>
      <c r="H107" s="1">
        <f t="shared" si="6"/>
        <v>0.61167244183484604</v>
      </c>
    </row>
    <row r="108" spans="1:8" x14ac:dyDescent="0.35">
      <c r="A108" s="3">
        <f t="shared" si="9"/>
        <v>43906</v>
      </c>
      <c r="B108" s="1">
        <v>0.63726708885455075</v>
      </c>
      <c r="C108" s="1">
        <f t="shared" si="8"/>
        <v>-0.11457231284912275</v>
      </c>
      <c r="D108" s="1">
        <f t="shared" si="6"/>
        <v>0.63726708885455075</v>
      </c>
      <c r="E108" s="1">
        <f t="shared" si="5"/>
        <v>-2.9907868635228062E-2</v>
      </c>
      <c r="F108" s="1">
        <f t="shared" si="6"/>
        <v>0.63726708885455075</v>
      </c>
      <c r="G108" s="1">
        <f t="shared" si="7"/>
        <v>2.256777104710567E-2</v>
      </c>
      <c r="H108" s="1">
        <f t="shared" si="6"/>
        <v>0.61469931780744502</v>
      </c>
    </row>
    <row r="109" spans="1:8" x14ac:dyDescent="0.35">
      <c r="A109" s="3">
        <f t="shared" si="9"/>
        <v>43907</v>
      </c>
      <c r="B109" s="1">
        <v>0.59539406529184757</v>
      </c>
      <c r="C109" s="1">
        <f t="shared" si="8"/>
        <v>-0.14628217456454035</v>
      </c>
      <c r="D109" s="1">
        <f t="shared" si="6"/>
        <v>0.59539406529184757</v>
      </c>
      <c r="E109" s="1">
        <f t="shared" si="5"/>
        <v>-7.5903409529005261E-2</v>
      </c>
      <c r="F109" s="1">
        <f t="shared" si="6"/>
        <v>0.59539406529184757</v>
      </c>
      <c r="G109" s="1">
        <f t="shared" si="7"/>
        <v>-1.9427596960529057E-2</v>
      </c>
      <c r="H109" s="1">
        <f t="shared" si="6"/>
        <v>0.59539406529184757</v>
      </c>
    </row>
    <row r="110" spans="1:8" x14ac:dyDescent="0.35">
      <c r="A110" s="3">
        <f t="shared" si="9"/>
        <v>43908</v>
      </c>
      <c r="B110" s="1">
        <v>0.60711234844078954</v>
      </c>
      <c r="C110" s="1">
        <f t="shared" si="8"/>
        <v>-0.12403216394134317</v>
      </c>
      <c r="D110" s="1">
        <f t="shared" si="6"/>
        <v>0.60711234844078954</v>
      </c>
      <c r="E110" s="1">
        <f t="shared" si="5"/>
        <v>-6.9864391349349853E-2</v>
      </c>
      <c r="F110" s="1">
        <f t="shared" si="6"/>
        <v>0.60711234844078954</v>
      </c>
      <c r="G110" s="1">
        <f t="shared" si="7"/>
        <v>-6.6916796576327372E-3</v>
      </c>
      <c r="H110" s="1">
        <f t="shared" si="6"/>
        <v>0.60711234844078954</v>
      </c>
    </row>
    <row r="111" spans="1:8" x14ac:dyDescent="0.35">
      <c r="A111" s="3">
        <f t="shared" si="9"/>
        <v>43909</v>
      </c>
      <c r="B111" s="1">
        <v>0.73744336902132046</v>
      </c>
      <c r="C111" s="1">
        <f t="shared" si="8"/>
        <v>1.0713855663018565E-2</v>
      </c>
      <c r="D111" s="1">
        <f t="shared" si="6"/>
        <v>0.72672951335830194</v>
      </c>
      <c r="E111" s="1">
        <f t="shared" si="5"/>
        <v>4.8937437712168463E-2</v>
      </c>
      <c r="F111" s="1">
        <f t="shared" si="6"/>
        <v>0.67779207564613353</v>
      </c>
      <c r="G111" s="1">
        <f t="shared" si="7"/>
        <v>6.183943375183331E-2</v>
      </c>
      <c r="H111" s="1">
        <f t="shared" si="6"/>
        <v>0.61595264189430021</v>
      </c>
    </row>
    <row r="112" spans="1:8" x14ac:dyDescent="0.35">
      <c r="A112" s="3">
        <f t="shared" si="9"/>
        <v>43910</v>
      </c>
      <c r="B112" s="1">
        <v>1.3186097843450759</v>
      </c>
      <c r="C112" s="1">
        <f t="shared" si="8"/>
        <v>0.56928299123740689</v>
      </c>
      <c r="D112" s="1">
        <f t="shared" si="6"/>
        <v>0.74932679310766903</v>
      </c>
      <c r="E112" s="1">
        <f t="shared" si="5"/>
        <v>7.6418723752361389E-2</v>
      </c>
      <c r="F112" s="1">
        <f t="shared" si="6"/>
        <v>0.67290806935530767</v>
      </c>
      <c r="G112" s="1">
        <f t="shared" si="7"/>
        <v>5.2500620165525924E-2</v>
      </c>
      <c r="H112" s="1">
        <f t="shared" si="6"/>
        <v>0.62040744918978175</v>
      </c>
    </row>
    <row r="113" spans="1:8" x14ac:dyDescent="0.35">
      <c r="A113" s="3">
        <f t="shared" si="9"/>
        <v>43911</v>
      </c>
      <c r="B113" s="1">
        <v>0.88187669220646747</v>
      </c>
      <c r="C113" s="1">
        <f t="shared" si="8"/>
        <v>0.10623116571119073</v>
      </c>
      <c r="D113" s="1">
        <f t="shared" si="6"/>
        <v>0.77564552649527674</v>
      </c>
      <c r="E113" s="1">
        <f t="shared" si="5"/>
        <v>0.11000054555452303</v>
      </c>
      <c r="F113" s="1">
        <f t="shared" si="6"/>
        <v>0.66564498094075375</v>
      </c>
      <c r="G113" s="1">
        <f t="shared" si="7"/>
        <v>4.1572351054103333E-2</v>
      </c>
      <c r="H113" s="1">
        <f t="shared" si="6"/>
        <v>0.62407262988665047</v>
      </c>
    </row>
    <row r="114" spans="1:8" x14ac:dyDescent="0.35">
      <c r="A114" s="3">
        <f t="shared" si="9"/>
        <v>43912</v>
      </c>
      <c r="B114" s="1">
        <v>0.80486804622803731</v>
      </c>
      <c r="C114" s="1">
        <f t="shared" si="8"/>
        <v>2.4143006528612412E-2</v>
      </c>
      <c r="D114" s="1">
        <f t="shared" si="6"/>
        <v>0.78072503969942486</v>
      </c>
      <c r="E114" s="1">
        <f t="shared" si="5"/>
        <v>0.12420494812271955</v>
      </c>
      <c r="F114" s="1">
        <f t="shared" si="6"/>
        <v>0.65652009157670532</v>
      </c>
      <c r="G114" s="1">
        <f t="shared" si="7"/>
        <v>2.9671718712148975E-2</v>
      </c>
      <c r="H114" s="1">
        <f t="shared" si="6"/>
        <v>0.6268483728645563</v>
      </c>
    </row>
    <row r="115" spans="1:8" x14ac:dyDescent="0.35">
      <c r="A115" s="3">
        <f t="shared" si="9"/>
        <v>43913</v>
      </c>
      <c r="B115" s="1">
        <v>0.77390990097075052</v>
      </c>
      <c r="C115" s="1">
        <f t="shared" si="8"/>
        <v>-7.4649337711720602E-3</v>
      </c>
      <c r="D115" s="1">
        <f t="shared" si="6"/>
        <v>0.77390990097075052</v>
      </c>
      <c r="E115" s="1">
        <f t="shared" si="5"/>
        <v>0.12718419145553567</v>
      </c>
      <c r="F115" s="1">
        <f t="shared" si="6"/>
        <v>0.6467257095152148</v>
      </c>
      <c r="G115" s="1">
        <f t="shared" si="7"/>
        <v>1.8019247074553171E-2</v>
      </c>
      <c r="H115" s="1">
        <f t="shared" si="6"/>
        <v>0.62870646244066164</v>
      </c>
    </row>
    <row r="116" spans="1:8" x14ac:dyDescent="0.35">
      <c r="A116" s="3">
        <f t="shared" si="9"/>
        <v>43914</v>
      </c>
      <c r="B116" s="1">
        <v>0.70228570370193377</v>
      </c>
      <c r="C116" s="1">
        <f t="shared" si="8"/>
        <v>-7.5843353609570285E-2</v>
      </c>
      <c r="D116" s="1">
        <f t="shared" si="6"/>
        <v>0.70228570370193377</v>
      </c>
      <c r="E116" s="1">
        <f t="shared" si="5"/>
        <v>6.2968542253296816E-2</v>
      </c>
      <c r="F116" s="1">
        <f t="shared" si="6"/>
        <v>0.63931716144863693</v>
      </c>
      <c r="G116" s="1">
        <f t="shared" si="7"/>
        <v>9.5370760298804837E-3</v>
      </c>
      <c r="H116" s="1">
        <f t="shared" si="6"/>
        <v>0.62978008541875641</v>
      </c>
    </row>
    <row r="117" spans="1:8" x14ac:dyDescent="0.35">
      <c r="A117" s="3">
        <f t="shared" si="9"/>
        <v>43915</v>
      </c>
      <c r="B117" s="1">
        <v>0.65792219249389783</v>
      </c>
      <c r="C117" s="1">
        <f t="shared" si="8"/>
        <v>-0.11285498162658711</v>
      </c>
      <c r="D117" s="1">
        <f t="shared" si="6"/>
        <v>0.65792219249389783</v>
      </c>
      <c r="E117" s="1">
        <f t="shared" si="5"/>
        <v>2.191206780060781E-2</v>
      </c>
      <c r="F117" s="1">
        <f t="shared" si="6"/>
        <v>0.63601012469328999</v>
      </c>
      <c r="G117" s="1">
        <f t="shared" si="7"/>
        <v>5.6387724506180206E-3</v>
      </c>
      <c r="H117" s="1">
        <f t="shared" si="6"/>
        <v>0.63037135224267193</v>
      </c>
    </row>
    <row r="118" spans="1:8" x14ac:dyDescent="0.35">
      <c r="A118" s="3">
        <f t="shared" si="9"/>
        <v>43916</v>
      </c>
      <c r="B118" s="1">
        <v>0.6100041432717298</v>
      </c>
      <c r="C118" s="1">
        <f t="shared" si="8"/>
        <v>-0.15051198038092981</v>
      </c>
      <c r="D118" s="1">
        <f t="shared" si="6"/>
        <v>0.6100041432717298</v>
      </c>
      <c r="E118" s="1">
        <f t="shared" si="5"/>
        <v>-2.6171950892679909E-2</v>
      </c>
      <c r="F118" s="1">
        <f t="shared" si="6"/>
        <v>0.6100041432717298</v>
      </c>
      <c r="G118" s="1">
        <f t="shared" si="7"/>
        <v>-1.9814892601430011E-2</v>
      </c>
      <c r="H118" s="1">
        <f t="shared" si="6"/>
        <v>0.6100041432717298</v>
      </c>
    </row>
    <row r="119" spans="1:8" x14ac:dyDescent="0.35">
      <c r="A119" s="3">
        <f t="shared" si="9"/>
        <v>43917</v>
      </c>
      <c r="B119" s="1">
        <v>0.57458300462477951</v>
      </c>
      <c r="C119" s="1">
        <f t="shared" si="8"/>
        <v>-0.17331642780004974</v>
      </c>
      <c r="D119" s="1">
        <f t="shared" si="6"/>
        <v>0.57458300462477951</v>
      </c>
      <c r="E119" s="1">
        <f t="shared" si="5"/>
        <v>-6.5151131719318439E-2</v>
      </c>
      <c r="F119" s="1">
        <f t="shared" si="6"/>
        <v>0.57458300462477951</v>
      </c>
      <c r="G119" s="1">
        <f t="shared" si="7"/>
        <v>-5.2421621604012411E-2</v>
      </c>
      <c r="H119" s="1">
        <f t="shared" si="6"/>
        <v>0.57458300462477951</v>
      </c>
    </row>
    <row r="120" spans="1:8" x14ac:dyDescent="0.35">
      <c r="A120" s="3">
        <f t="shared" si="9"/>
        <v>43918</v>
      </c>
      <c r="B120" s="1">
        <v>1.4076920058263178</v>
      </c>
      <c r="C120" s="1">
        <f t="shared" si="8"/>
        <v>0.64154971794143456</v>
      </c>
      <c r="D120" s="1">
        <f t="shared" si="6"/>
        <v>0.76614228788488326</v>
      </c>
      <c r="E120" s="1">
        <f t="shared" si="5"/>
        <v>0.12889154423625016</v>
      </c>
      <c r="F120" s="1">
        <f t="shared" si="6"/>
        <v>0.6372507436486331</v>
      </c>
      <c r="G120" s="1">
        <f t="shared" si="7"/>
        <v>1.1827698826747599E-2</v>
      </c>
      <c r="H120" s="1">
        <f t="shared" si="6"/>
        <v>0.62542304482188549</v>
      </c>
    </row>
    <row r="121" spans="1:8" x14ac:dyDescent="0.35">
      <c r="A121" s="3">
        <f t="shared" si="9"/>
        <v>43919</v>
      </c>
      <c r="B121" s="1">
        <v>1.6521449367513892</v>
      </c>
      <c r="C121" s="1">
        <f t="shared" si="8"/>
        <v>0.82871943511120827</v>
      </c>
      <c r="D121" s="1">
        <f t="shared" si="6"/>
        <v>0.82342550164018091</v>
      </c>
      <c r="E121" s="1">
        <f t="shared" si="5"/>
        <v>0.19894771618997203</v>
      </c>
      <c r="F121" s="1">
        <f t="shared" si="6"/>
        <v>0.62447778545020882</v>
      </c>
      <c r="G121" s="1">
        <f t="shared" si="7"/>
        <v>-1.3533508512418389E-3</v>
      </c>
      <c r="H121" s="1">
        <f t="shared" si="6"/>
        <v>0.62447778545020882</v>
      </c>
    </row>
    <row r="122" spans="1:8" x14ac:dyDescent="0.35">
      <c r="A122" s="3">
        <f t="shared" si="9"/>
        <v>43920</v>
      </c>
      <c r="B122" s="1">
        <v>1.0129065741265137</v>
      </c>
      <c r="C122" s="1">
        <f t="shared" si="8"/>
        <v>0.15129855345142507</v>
      </c>
      <c r="D122" s="1">
        <f t="shared" si="6"/>
        <v>0.86160802067508868</v>
      </c>
      <c r="E122" s="1">
        <f t="shared" si="5"/>
        <v>0.25480907109304946</v>
      </c>
      <c r="F122" s="1">
        <f t="shared" si="6"/>
        <v>0.60679894958203917</v>
      </c>
      <c r="G122" s="1">
        <f t="shared" si="7"/>
        <v>-1.8267729060511991E-2</v>
      </c>
      <c r="H122" s="1">
        <f t="shared" si="6"/>
        <v>0.60679894958203917</v>
      </c>
    </row>
    <row r="123" spans="1:8" x14ac:dyDescent="0.35">
      <c r="A123" s="3">
        <f t="shared" si="9"/>
        <v>43921</v>
      </c>
      <c r="B123" s="1">
        <v>0.84679104395296145</v>
      </c>
      <c r="C123" s="1">
        <f t="shared" si="8"/>
        <v>-1.9935035849475896E-2</v>
      </c>
      <c r="D123" s="1">
        <f t="shared" si="6"/>
        <v>0.84679104395296145</v>
      </c>
      <c r="E123" s="1">
        <f t="shared" si="5"/>
        <v>0.26005160107892106</v>
      </c>
      <c r="F123" s="1">
        <f t="shared" si="6"/>
        <v>0.58673944287404045</v>
      </c>
      <c r="G123" s="1">
        <f t="shared" si="7"/>
        <v>-3.620492458742236E-2</v>
      </c>
      <c r="H123" s="1">
        <f t="shared" si="6"/>
        <v>0.58673944287404045</v>
      </c>
    </row>
    <row r="124" spans="1:8" x14ac:dyDescent="0.35">
      <c r="A124" s="3">
        <f t="shared" si="9"/>
        <v>43922</v>
      </c>
      <c r="B124" s="1">
        <v>0.7492055275600612</v>
      </c>
      <c r="C124" s="1">
        <f t="shared" si="8"/>
        <v>-0.1123659676889317</v>
      </c>
      <c r="D124" s="1">
        <f t="shared" si="6"/>
        <v>0.7492055275600612</v>
      </c>
      <c r="E124" s="1">
        <f t="shared" si="5"/>
        <v>0.1795951800548698</v>
      </c>
      <c r="F124" s="1">
        <f t="shared" si="6"/>
        <v>0.56961034750519146</v>
      </c>
      <c r="G124" s="1">
        <f t="shared" si="7"/>
        <v>-4.9976309535882835E-2</v>
      </c>
      <c r="H124" s="1">
        <f t="shared" si="6"/>
        <v>0.56961034750519146</v>
      </c>
    </row>
    <row r="125" spans="1:8" x14ac:dyDescent="0.35">
      <c r="A125" s="3">
        <f t="shared" si="9"/>
        <v>43923</v>
      </c>
      <c r="B125" s="1">
        <v>0.68201897983492132</v>
      </c>
      <c r="C125" s="1">
        <f t="shared" si="8"/>
        <v>-0.16860557229770895</v>
      </c>
      <c r="D125" s="1">
        <f t="shared" si="6"/>
        <v>0.68201897983492132</v>
      </c>
      <c r="E125" s="1">
        <f t="shared" si="5"/>
        <v>0.12424662472370018</v>
      </c>
      <c r="F125" s="1">
        <f t="shared" si="6"/>
        <v>0.55777235511122114</v>
      </c>
      <c r="G125" s="1">
        <f t="shared" si="7"/>
        <v>-5.7622153999888064E-2</v>
      </c>
      <c r="H125" s="1">
        <f t="shared" si="6"/>
        <v>0.55777235511122114</v>
      </c>
    </row>
    <row r="126" spans="1:8" x14ac:dyDescent="0.35">
      <c r="A126" s="3">
        <f t="shared" si="9"/>
        <v>43924</v>
      </c>
      <c r="B126" s="1">
        <v>0.63081292145514001</v>
      </c>
      <c r="C126" s="1">
        <f t="shared" si="8"/>
        <v>-0.20524598556592033</v>
      </c>
      <c r="D126" s="1">
        <f t="shared" si="6"/>
        <v>0.63081292145514001</v>
      </c>
      <c r="E126" s="1">
        <f t="shared" si="5"/>
        <v>8.1038695711525041E-2</v>
      </c>
      <c r="F126" s="1">
        <f t="shared" si="6"/>
        <v>0.54977422574361501</v>
      </c>
      <c r="G126" s="1">
        <f t="shared" si="7"/>
        <v>-6.0998691966217364E-2</v>
      </c>
      <c r="H126" s="1">
        <f t="shared" si="6"/>
        <v>0.54977422574361501</v>
      </c>
    </row>
    <row r="127" spans="1:8" x14ac:dyDescent="0.35">
      <c r="A127" s="3">
        <f t="shared" si="9"/>
        <v>43925</v>
      </c>
      <c r="B127" s="1">
        <v>0.65536854139367839</v>
      </c>
      <c r="C127" s="1">
        <f t="shared" si="8"/>
        <v>-0.16621775245763312</v>
      </c>
      <c r="D127" s="1">
        <f t="shared" si="6"/>
        <v>0.65536854139367839</v>
      </c>
      <c r="E127" s="1">
        <f t="shared" si="5"/>
        <v>0.11316051881337107</v>
      </c>
      <c r="F127" s="1">
        <f t="shared" si="6"/>
        <v>0.54220802258030731</v>
      </c>
      <c r="G127" s="1">
        <f t="shared" si="7"/>
        <v>-6.370626061343472E-2</v>
      </c>
      <c r="H127" s="1">
        <f t="shared" si="6"/>
        <v>0.54220802258030731</v>
      </c>
    </row>
    <row r="128" spans="1:8" x14ac:dyDescent="0.35">
      <c r="A128" s="3">
        <f t="shared" si="9"/>
        <v>43926</v>
      </c>
      <c r="B128" s="1">
        <v>0.59025468657163305</v>
      </c>
      <c r="C128" s="1">
        <f t="shared" si="8"/>
        <v>-0.2164235062895293</v>
      </c>
      <c r="D128" s="1">
        <f t="shared" si="6"/>
        <v>0.59025468657163305</v>
      </c>
      <c r="E128" s="1">
        <f t="shared" si="5"/>
        <v>5.4582090321245856E-2</v>
      </c>
      <c r="F128" s="1">
        <f t="shared" si="6"/>
        <v>0.53567259625038721</v>
      </c>
      <c r="G128" s="1">
        <f t="shared" si="7"/>
        <v>-6.5218638909975216E-2</v>
      </c>
      <c r="H128" s="1">
        <f t="shared" si="6"/>
        <v>0.53567259625038721</v>
      </c>
    </row>
    <row r="129" spans="1:8" x14ac:dyDescent="0.35">
      <c r="A129" s="3">
        <f t="shared" si="9"/>
        <v>43927</v>
      </c>
      <c r="B129" s="1">
        <v>0.54707884300224874</v>
      </c>
      <c r="C129" s="1">
        <f t="shared" si="8"/>
        <v>-0.24174849275334701</v>
      </c>
      <c r="D129" s="1">
        <f t="shared" si="6"/>
        <v>0.54707884300224874</v>
      </c>
      <c r="E129" s="1">
        <f t="shared" si="5"/>
        <v>1.4081449606176707E-2</v>
      </c>
      <c r="F129" s="1">
        <f t="shared" si="6"/>
        <v>0.53299739339607199</v>
      </c>
      <c r="G129" s="1">
        <f t="shared" si="7"/>
        <v>-6.2902123739005472E-2</v>
      </c>
      <c r="H129" s="1">
        <f t="shared" si="6"/>
        <v>0.53299739339607199</v>
      </c>
    </row>
    <row r="130" spans="1:8" x14ac:dyDescent="0.35">
      <c r="A130" s="3">
        <f t="shared" si="9"/>
        <v>43928</v>
      </c>
      <c r="B130" s="1">
        <v>0.55899870659998718</v>
      </c>
      <c r="C130" s="1">
        <f t="shared" si="8"/>
        <v>-0.21214448708402275</v>
      </c>
      <c r="D130" s="1">
        <f t="shared" si="6"/>
        <v>0.55899870659998718</v>
      </c>
      <c r="E130" s="1">
        <f t="shared" si="5"/>
        <v>2.7626290074594551E-2</v>
      </c>
      <c r="F130" s="1">
        <f t="shared" si="6"/>
        <v>0.53137241652539258</v>
      </c>
      <c r="G130" s="1">
        <f t="shared" si="7"/>
        <v>-5.9748504696609007E-2</v>
      </c>
      <c r="H130" s="1">
        <f t="shared" si="6"/>
        <v>0.53137241652539258</v>
      </c>
    </row>
    <row r="131" spans="1:8" x14ac:dyDescent="0.35">
      <c r="A131" s="3">
        <f t="shared" si="9"/>
        <v>43929</v>
      </c>
      <c r="B131" s="1">
        <v>0.64744134616176818</v>
      </c>
      <c r="C131" s="1">
        <f t="shared" si="8"/>
        <v>-0.11110760997450683</v>
      </c>
      <c r="D131" s="1">
        <f t="shared" si="6"/>
        <v>0.64744134616176818</v>
      </c>
      <c r="E131" s="1">
        <f t="shared" ref="E131:E194" si="10">alpha*E132+(1+alpha)/2*(D131-D132)</f>
        <v>0.12189441151655001</v>
      </c>
      <c r="F131" s="1">
        <f t="shared" si="6"/>
        <v>0.52554693464521818</v>
      </c>
      <c r="G131" s="1">
        <f t="shared" si="7"/>
        <v>-6.0874393154031196E-2</v>
      </c>
      <c r="H131" s="1">
        <f t="shared" si="6"/>
        <v>0.52554693464521818</v>
      </c>
    </row>
    <row r="132" spans="1:8" x14ac:dyDescent="0.35">
      <c r="A132" s="3">
        <f t="shared" si="9"/>
        <v>43930</v>
      </c>
      <c r="B132" s="1">
        <v>0.64125333853712307</v>
      </c>
      <c r="C132" s="1">
        <f t="shared" si="8"/>
        <v>-0.10873049656513975</v>
      </c>
      <c r="D132" s="1">
        <f t="shared" ref="D132:H195" si="11">B132-MAX(0,C132)</f>
        <v>0.64125333853712307</v>
      </c>
      <c r="E132" s="1">
        <f t="shared" si="10"/>
        <v>0.12533886938143685</v>
      </c>
      <c r="F132" s="1">
        <f t="shared" si="11"/>
        <v>0.51591446915568628</v>
      </c>
      <c r="G132" s="1">
        <f t="shared" ref="G132:G195" si="12">alpha*G131+(1+alpha)/2*(F132-F131)</f>
        <v>-6.5580061701153297E-2</v>
      </c>
      <c r="H132" s="1">
        <f t="shared" si="11"/>
        <v>0.51591446915568628</v>
      </c>
    </row>
    <row r="133" spans="1:8" x14ac:dyDescent="0.35">
      <c r="A133" s="3">
        <f t="shared" si="9"/>
        <v>43931</v>
      </c>
      <c r="B133" s="1">
        <v>0.541806562010273</v>
      </c>
      <c r="C133" s="1">
        <f t="shared" ref="C133:C196" si="13">alpha*C132+(1+alpha)/2*(B133-B132)</f>
        <v>-0.19629323172984747</v>
      </c>
      <c r="D133" s="1">
        <f t="shared" si="11"/>
        <v>0.541806562010273</v>
      </c>
      <c r="E133" s="1">
        <f t="shared" si="10"/>
        <v>3.2023077810101233E-2</v>
      </c>
      <c r="F133" s="1">
        <f t="shared" si="11"/>
        <v>0.50978348420017172</v>
      </c>
      <c r="G133" s="1">
        <f t="shared" si="12"/>
        <v>-6.6562630093249572E-2</v>
      </c>
      <c r="H133" s="1">
        <f t="shared" si="11"/>
        <v>0.50978348420017172</v>
      </c>
    </row>
    <row r="134" spans="1:8" x14ac:dyDescent="0.35">
      <c r="A134" s="3">
        <f t="shared" si="9"/>
        <v>43932</v>
      </c>
      <c r="B134" s="1">
        <v>0.50351313759501393</v>
      </c>
      <c r="C134" s="1">
        <f t="shared" si="13"/>
        <v>-0.21842866034979577</v>
      </c>
      <c r="D134" s="1">
        <f t="shared" si="11"/>
        <v>0.50351313759501393</v>
      </c>
      <c r="E134" s="1">
        <f t="shared" si="10"/>
        <v>-5.2263169617141848E-3</v>
      </c>
      <c r="F134" s="1">
        <f t="shared" si="11"/>
        <v>0.50351313759501393</v>
      </c>
      <c r="G134" s="1">
        <f t="shared" si="12"/>
        <v>-6.7605641443720235E-2</v>
      </c>
      <c r="H134" s="1">
        <f t="shared" si="11"/>
        <v>0.50351313759501393</v>
      </c>
    </row>
    <row r="135" spans="1:8" x14ac:dyDescent="0.35">
      <c r="A135" s="3">
        <f t="shared" si="9"/>
        <v>43933</v>
      </c>
      <c r="B135" s="1">
        <v>0.50393633190379927</v>
      </c>
      <c r="C135" s="1">
        <f t="shared" si="13"/>
        <v>-0.20163918630135519</v>
      </c>
      <c r="D135" s="1">
        <f t="shared" si="11"/>
        <v>0.50393633190379927</v>
      </c>
      <c r="E135" s="1">
        <f t="shared" si="10"/>
        <v>-5.2097215562251775E-3</v>
      </c>
      <c r="F135" s="1">
        <f t="shared" si="11"/>
        <v>0.50393633190379927</v>
      </c>
      <c r="G135" s="1">
        <f t="shared" si="12"/>
        <v>-6.2127893813235323E-2</v>
      </c>
      <c r="H135" s="1">
        <f t="shared" si="11"/>
        <v>0.50393633190379927</v>
      </c>
    </row>
    <row r="136" spans="1:8" x14ac:dyDescent="0.35">
      <c r="A136" s="3">
        <f t="shared" si="9"/>
        <v>43934</v>
      </c>
      <c r="B136" s="1">
        <v>0.60967210167584718</v>
      </c>
      <c r="C136" s="1">
        <f t="shared" si="13"/>
        <v>-8.4745568923157433E-2</v>
      </c>
      <c r="D136" s="1">
        <f t="shared" si="11"/>
        <v>0.60967210167584718</v>
      </c>
      <c r="E136" s="1">
        <f t="shared" si="10"/>
        <v>0.10439022362094155</v>
      </c>
      <c r="F136" s="1">
        <f t="shared" si="11"/>
        <v>0.50528187805490565</v>
      </c>
      <c r="G136" s="1">
        <f t="shared" si="12"/>
        <v>-5.6173213606802788E-2</v>
      </c>
      <c r="H136" s="1">
        <f t="shared" si="11"/>
        <v>0.50528187805490565</v>
      </c>
    </row>
    <row r="137" spans="1:8" x14ac:dyDescent="0.35">
      <c r="A137" s="3">
        <f t="shared" si="9"/>
        <v>43935</v>
      </c>
      <c r="B137" s="1">
        <v>0.49393861507341597</v>
      </c>
      <c r="C137" s="1">
        <f t="shared" si="13"/>
        <v>-0.18978313210876069</v>
      </c>
      <c r="D137" s="1">
        <f t="shared" si="11"/>
        <v>0.49393861507341597</v>
      </c>
      <c r="E137" s="1">
        <f t="shared" si="10"/>
        <v>-7.5710889015118826E-3</v>
      </c>
      <c r="F137" s="1">
        <f t="shared" si="11"/>
        <v>0.49393861507341597</v>
      </c>
      <c r="G137" s="1">
        <f t="shared" si="12"/>
        <v>-6.2878113205976416E-2</v>
      </c>
      <c r="H137" s="1">
        <f t="shared" si="11"/>
        <v>0.49393861507341597</v>
      </c>
    </row>
    <row r="138" spans="1:8" x14ac:dyDescent="0.35">
      <c r="A138" s="3">
        <f t="shared" si="9"/>
        <v>43936</v>
      </c>
      <c r="B138" s="1">
        <v>0.46721191018726421</v>
      </c>
      <c r="C138" s="1">
        <f t="shared" si="13"/>
        <v>-0.20127385065352471</v>
      </c>
      <c r="D138" s="1">
        <f t="shared" si="11"/>
        <v>0.46721191018726421</v>
      </c>
      <c r="E138" s="1">
        <f t="shared" si="10"/>
        <v>-3.599518092371129E-2</v>
      </c>
      <c r="F138" s="1">
        <f t="shared" si="11"/>
        <v>0.46721191018726421</v>
      </c>
      <c r="G138" s="1">
        <f t="shared" si="12"/>
        <v>-8.3886708168449259E-2</v>
      </c>
      <c r="H138" s="1">
        <f t="shared" si="11"/>
        <v>0.46721191018726421</v>
      </c>
    </row>
    <row r="139" spans="1:8" x14ac:dyDescent="0.35">
      <c r="A139" s="3">
        <f t="shared" si="9"/>
        <v>43937</v>
      </c>
      <c r="B139" s="1">
        <v>0.44446209803551556</v>
      </c>
      <c r="C139" s="1">
        <f t="shared" si="13"/>
        <v>-0.20807500605056845</v>
      </c>
      <c r="D139" s="1">
        <f t="shared" si="11"/>
        <v>0.44446209803551556</v>
      </c>
      <c r="E139" s="1">
        <f t="shared" si="10"/>
        <v>-6.2585810940291212E-2</v>
      </c>
      <c r="F139" s="1">
        <f t="shared" si="11"/>
        <v>0.44446209803551556</v>
      </c>
      <c r="G139" s="1">
        <f t="shared" si="12"/>
        <v>-9.9491899251873656E-2</v>
      </c>
      <c r="H139" s="1">
        <f t="shared" si="11"/>
        <v>0.44446209803551556</v>
      </c>
    </row>
    <row r="140" spans="1:8" x14ac:dyDescent="0.35">
      <c r="A140" s="3">
        <f t="shared" si="9"/>
        <v>43938</v>
      </c>
      <c r="B140" s="1">
        <v>0.43934311843657636</v>
      </c>
      <c r="C140" s="1">
        <f t="shared" si="13"/>
        <v>-0.1973963984607548</v>
      </c>
      <c r="D140" s="1">
        <f t="shared" si="11"/>
        <v>0.43934311843657636</v>
      </c>
      <c r="E140" s="1">
        <f t="shared" si="10"/>
        <v>-7.2986841950562362E-2</v>
      </c>
      <c r="F140" s="1">
        <f t="shared" si="11"/>
        <v>0.43934311843657636</v>
      </c>
      <c r="G140" s="1">
        <f t="shared" si="12"/>
        <v>-9.6957024671962114E-2</v>
      </c>
      <c r="H140" s="1">
        <f t="shared" si="11"/>
        <v>0.43934311843657636</v>
      </c>
    </row>
    <row r="141" spans="1:8" x14ac:dyDescent="0.35">
      <c r="A141" s="3">
        <f t="shared" si="9"/>
        <v>43939</v>
      </c>
      <c r="B141" s="1">
        <v>0.4286062726701379</v>
      </c>
      <c r="C141" s="1">
        <f t="shared" si="13"/>
        <v>-0.19292588262639521</v>
      </c>
      <c r="D141" s="1">
        <f t="shared" si="11"/>
        <v>0.4286062726701379</v>
      </c>
      <c r="E141" s="1">
        <f t="shared" si="10"/>
        <v>-9.0076817298118242E-2</v>
      </c>
      <c r="F141" s="1">
        <f t="shared" si="11"/>
        <v>0.4286062726701379</v>
      </c>
      <c r="G141" s="1">
        <f t="shared" si="12"/>
        <v>-0.10001946187176199</v>
      </c>
      <c r="H141" s="1">
        <f t="shared" si="11"/>
        <v>0.4286062726701379</v>
      </c>
    </row>
    <row r="142" spans="1:8" x14ac:dyDescent="0.35">
      <c r="A142" s="3">
        <f t="shared" si="9"/>
        <v>43940</v>
      </c>
      <c r="B142" s="1">
        <v>0.41394935395766358</v>
      </c>
      <c r="C142" s="1">
        <f t="shared" si="13"/>
        <v>-0.19256372569017211</v>
      </c>
      <c r="D142" s="1">
        <f t="shared" si="11"/>
        <v>0.41394935395766358</v>
      </c>
      <c r="E142" s="1">
        <f t="shared" si="10"/>
        <v>-0.11263146114472949</v>
      </c>
      <c r="F142" s="1">
        <f t="shared" si="11"/>
        <v>0.41394935395766358</v>
      </c>
      <c r="G142" s="1">
        <f t="shared" si="12"/>
        <v>-0.10662528649213639</v>
      </c>
      <c r="H142" s="1">
        <f t="shared" si="11"/>
        <v>0.41394935395766358</v>
      </c>
    </row>
    <row r="143" spans="1:8" x14ac:dyDescent="0.35">
      <c r="A143" s="3">
        <f t="shared" si="9"/>
        <v>43941</v>
      </c>
      <c r="B143" s="1">
        <v>0.41266230016667244</v>
      </c>
      <c r="C143" s="1">
        <f t="shared" si="13"/>
        <v>-0.17936023553723818</v>
      </c>
      <c r="D143" s="1">
        <f t="shared" si="11"/>
        <v>0.41266230016667244</v>
      </c>
      <c r="E143" s="1">
        <f t="shared" si="10"/>
        <v>-0.12310297342546861</v>
      </c>
      <c r="F143" s="1">
        <f t="shared" si="11"/>
        <v>0.41266230016667244</v>
      </c>
      <c r="G143" s="1">
        <f t="shared" si="12"/>
        <v>-9.986717927905514E-2</v>
      </c>
      <c r="H143" s="1">
        <f t="shared" si="11"/>
        <v>0.41266230016667244</v>
      </c>
    </row>
    <row r="144" spans="1:8" x14ac:dyDescent="0.35">
      <c r="A144" s="3">
        <f t="shared" si="9"/>
        <v>43942</v>
      </c>
      <c r="B144" s="1">
        <v>0.41202110384393337</v>
      </c>
      <c r="C144" s="1">
        <f t="shared" si="13"/>
        <v>-0.16652536933258166</v>
      </c>
      <c r="D144" s="1">
        <f t="shared" si="11"/>
        <v>0.41202110384393337</v>
      </c>
      <c r="E144" s="1">
        <f t="shared" si="10"/>
        <v>-0.13375148636335671</v>
      </c>
      <c r="F144" s="1">
        <f t="shared" si="11"/>
        <v>0.41202110384393337</v>
      </c>
      <c r="G144" s="1">
        <f t="shared" si="12"/>
        <v>-9.2994292293762368E-2</v>
      </c>
      <c r="H144" s="1">
        <f t="shared" si="11"/>
        <v>0.41202110384393337</v>
      </c>
    </row>
    <row r="145" spans="1:8" x14ac:dyDescent="0.35">
      <c r="A145" s="3">
        <f t="shared" si="9"/>
        <v>43943</v>
      </c>
      <c r="B145" s="1">
        <v>0.39926408483107673</v>
      </c>
      <c r="C145" s="1">
        <f t="shared" si="13"/>
        <v>-0.16631459743251256</v>
      </c>
      <c r="D145" s="1">
        <f t="shared" si="11"/>
        <v>0.39926408483107673</v>
      </c>
      <c r="E145" s="1">
        <f t="shared" si="10"/>
        <v>-0.15787039693322294</v>
      </c>
      <c r="F145" s="1">
        <f t="shared" si="11"/>
        <v>0.39926408483107673</v>
      </c>
      <c r="G145" s="1">
        <f t="shared" si="12"/>
        <v>-9.8298351171604709E-2</v>
      </c>
      <c r="H145" s="1">
        <f t="shared" si="11"/>
        <v>0.39926408483107673</v>
      </c>
    </row>
    <row r="146" spans="1:8" x14ac:dyDescent="0.35">
      <c r="A146" s="3">
        <f t="shared" si="9"/>
        <v>43944</v>
      </c>
      <c r="B146" s="1">
        <v>0.38036741372404176</v>
      </c>
      <c r="C146" s="1">
        <f t="shared" si="13"/>
        <v>-0.17202904856559528</v>
      </c>
      <c r="D146" s="1">
        <f t="shared" si="11"/>
        <v>0.38036741372404176</v>
      </c>
      <c r="E146" s="1">
        <f t="shared" si="10"/>
        <v>-0.19033345175539901</v>
      </c>
      <c r="F146" s="1">
        <f t="shared" si="11"/>
        <v>0.38036741372404176</v>
      </c>
      <c r="G146" s="1">
        <f t="shared" si="12"/>
        <v>-0.10911402077425553</v>
      </c>
      <c r="H146" s="1">
        <f t="shared" si="11"/>
        <v>0.38036741372404176</v>
      </c>
    </row>
    <row r="147" spans="1:8" x14ac:dyDescent="0.35">
      <c r="A147" s="3">
        <f t="shared" si="9"/>
        <v>43945</v>
      </c>
      <c r="B147" s="1">
        <v>0.37199439705109233</v>
      </c>
      <c r="C147" s="1">
        <f t="shared" si="13"/>
        <v>-0.16718589847088947</v>
      </c>
      <c r="D147" s="1">
        <f t="shared" si="11"/>
        <v>0.37199439705109233</v>
      </c>
      <c r="E147" s="1">
        <f t="shared" si="10"/>
        <v>-0.21447835708444629</v>
      </c>
      <c r="F147" s="1">
        <f t="shared" si="11"/>
        <v>0.37199439705109233</v>
      </c>
      <c r="G147" s="1">
        <f t="shared" si="12"/>
        <v>-0.1089894977639002</v>
      </c>
      <c r="H147" s="1">
        <f t="shared" si="11"/>
        <v>0.37199439705109233</v>
      </c>
    </row>
    <row r="148" spans="1:8" x14ac:dyDescent="0.35">
      <c r="A148" s="3">
        <f t="shared" si="9"/>
        <v>43946</v>
      </c>
      <c r="B148" s="1">
        <v>0.37072238691297565</v>
      </c>
      <c r="C148" s="1">
        <f t="shared" si="13"/>
        <v>-0.15587126584351008</v>
      </c>
      <c r="D148" s="1">
        <f t="shared" si="11"/>
        <v>0.37072238691297565</v>
      </c>
      <c r="E148" s="1">
        <f t="shared" si="10"/>
        <v>-0.23319207226203631</v>
      </c>
      <c r="F148" s="1">
        <f t="shared" si="11"/>
        <v>0.37072238691297565</v>
      </c>
      <c r="G148" s="1">
        <f t="shared" si="12"/>
        <v>-0.10203959518954499</v>
      </c>
      <c r="H148" s="1">
        <f t="shared" si="11"/>
        <v>0.37072238691297565</v>
      </c>
    </row>
    <row r="149" spans="1:8" x14ac:dyDescent="0.35">
      <c r="A149" s="3">
        <f t="shared" si="9"/>
        <v>43947</v>
      </c>
      <c r="B149" s="1">
        <v>0.37434070120702428</v>
      </c>
      <c r="C149" s="1">
        <f t="shared" si="13"/>
        <v>-0.14069829339722503</v>
      </c>
      <c r="D149" s="1">
        <f t="shared" si="11"/>
        <v>0.37434070120702428</v>
      </c>
      <c r="E149" s="1">
        <f t="shared" si="10"/>
        <v>-0.24833453486920484</v>
      </c>
      <c r="F149" s="1">
        <f t="shared" si="11"/>
        <v>0.37434070120702428</v>
      </c>
      <c r="G149" s="1">
        <f t="shared" si="12"/>
        <v>-9.090399804230731E-2</v>
      </c>
      <c r="H149" s="1">
        <f t="shared" si="11"/>
        <v>0.37434070120702428</v>
      </c>
    </row>
    <row r="150" spans="1:8" x14ac:dyDescent="0.35">
      <c r="A150" s="3">
        <f t="shared" si="9"/>
        <v>43948</v>
      </c>
      <c r="B150" s="1">
        <v>0.41553177087839105</v>
      </c>
      <c r="C150" s="1">
        <f t="shared" si="13"/>
        <v>-9.049951683374266E-2</v>
      </c>
      <c r="D150" s="1">
        <f t="shared" si="11"/>
        <v>0.41553177087839105</v>
      </c>
      <c r="E150" s="1">
        <f t="shared" si="10"/>
        <v>-0.22560878952488037</v>
      </c>
      <c r="F150" s="1">
        <f t="shared" si="11"/>
        <v>0.41553177087839105</v>
      </c>
      <c r="G150" s="1">
        <f t="shared" si="12"/>
        <v>-4.4439793630443751E-2</v>
      </c>
      <c r="H150" s="1">
        <f t="shared" si="11"/>
        <v>0.41553177087839105</v>
      </c>
    </row>
    <row r="151" spans="1:8" x14ac:dyDescent="0.35">
      <c r="A151" s="3">
        <f t="shared" si="9"/>
        <v>43949</v>
      </c>
      <c r="B151" s="1">
        <v>0.49800931628838835</v>
      </c>
      <c r="C151" s="1">
        <f t="shared" si="13"/>
        <v>-4.3274156140895581E-3</v>
      </c>
      <c r="D151" s="1">
        <f t="shared" si="11"/>
        <v>0.49800931628838835</v>
      </c>
      <c r="E151" s="1">
        <f t="shared" si="10"/>
        <v>-0.15808016439757616</v>
      </c>
      <c r="F151" s="1">
        <f t="shared" si="11"/>
        <v>0.49800931628838835</v>
      </c>
      <c r="G151" s="1">
        <f t="shared" si="12"/>
        <v>3.8277828348961929E-2</v>
      </c>
      <c r="H151" s="1">
        <f t="shared" si="11"/>
        <v>0.45973148793942642</v>
      </c>
    </row>
    <row r="152" spans="1:8" x14ac:dyDescent="0.35">
      <c r="A152" s="3">
        <f t="shared" si="9"/>
        <v>43950</v>
      </c>
      <c r="B152" s="1">
        <v>1.2240471826805173</v>
      </c>
      <c r="C152" s="1">
        <f t="shared" si="13"/>
        <v>0.69480858695939129</v>
      </c>
      <c r="D152" s="1">
        <f t="shared" si="11"/>
        <v>0.52923859572112597</v>
      </c>
      <c r="E152" s="1">
        <f t="shared" si="10"/>
        <v>-0.13840214372277426</v>
      </c>
      <c r="F152" s="1">
        <f t="shared" si="11"/>
        <v>0.52923859572112597</v>
      </c>
      <c r="G152" s="1">
        <f t="shared" si="12"/>
        <v>6.5465172676799743E-2</v>
      </c>
      <c r="H152" s="1">
        <f t="shared" si="11"/>
        <v>0.46377342304432623</v>
      </c>
    </row>
    <row r="153" spans="1:8" x14ac:dyDescent="0.35">
      <c r="A153" s="3">
        <f t="shared" si="9"/>
        <v>43951</v>
      </c>
      <c r="B153" s="1">
        <v>2.4535543186222699</v>
      </c>
      <c r="C153" s="1">
        <f t="shared" si="13"/>
        <v>1.8260985612813738</v>
      </c>
      <c r="D153" s="1">
        <f t="shared" si="11"/>
        <v>0.62745575734089609</v>
      </c>
      <c r="E153" s="1">
        <f t="shared" si="10"/>
        <v>-4.7425000717562726E-2</v>
      </c>
      <c r="F153" s="1">
        <f t="shared" si="11"/>
        <v>0.62745575734089609</v>
      </c>
      <c r="G153" s="1">
        <f t="shared" si="12"/>
        <v>0.15508930278506849</v>
      </c>
      <c r="H153" s="1">
        <f t="shared" si="11"/>
        <v>0.4723664545558276</v>
      </c>
    </row>
    <row r="154" spans="1:8" x14ac:dyDescent="0.35">
      <c r="A154" s="3">
        <f t="shared" si="9"/>
        <v>43952</v>
      </c>
      <c r="B154" s="1">
        <v>1.2193217829172076</v>
      </c>
      <c r="C154" s="1">
        <f t="shared" si="13"/>
        <v>0.50119235356914849</v>
      </c>
      <c r="D154" s="1">
        <f t="shared" si="11"/>
        <v>0.71812942934805912</v>
      </c>
      <c r="E154" s="1">
        <f t="shared" si="10"/>
        <v>4.3079360637115344E-2</v>
      </c>
      <c r="F154" s="1">
        <f t="shared" si="11"/>
        <v>0.67505006871094375</v>
      </c>
      <c r="G154" s="1">
        <f t="shared" si="12"/>
        <v>0.18926712976985927</v>
      </c>
      <c r="H154" s="1">
        <f t="shared" si="11"/>
        <v>0.48578293894108449</v>
      </c>
    </row>
    <row r="155" spans="1:8" x14ac:dyDescent="0.35">
      <c r="A155" s="3">
        <f t="shared" si="9"/>
        <v>43953</v>
      </c>
      <c r="B155" s="1">
        <v>0.9449929837560479</v>
      </c>
      <c r="C155" s="1">
        <f t="shared" si="13"/>
        <v>0.19956145785884616</v>
      </c>
      <c r="D155" s="1">
        <f t="shared" si="11"/>
        <v>0.74543152589720174</v>
      </c>
      <c r="E155" s="1">
        <f t="shared" si="10"/>
        <v>7.4981220070989313E-2</v>
      </c>
      <c r="F155" s="1">
        <f t="shared" si="11"/>
        <v>0.67045030582621246</v>
      </c>
      <c r="G155" s="1">
        <f t="shared" si="12"/>
        <v>0.17064482326056596</v>
      </c>
      <c r="H155" s="1">
        <f t="shared" si="11"/>
        <v>0.4998054825656465</v>
      </c>
    </row>
    <row r="156" spans="1:8" x14ac:dyDescent="0.35">
      <c r="A156" s="3">
        <f t="shared" si="9"/>
        <v>43954</v>
      </c>
      <c r="B156" s="1">
        <v>0.80389142363985711</v>
      </c>
      <c r="C156" s="1">
        <f t="shared" si="13"/>
        <v>4.8784096907599078E-2</v>
      </c>
      <c r="D156" s="1">
        <f t="shared" si="11"/>
        <v>0.755107326732258</v>
      </c>
      <c r="E156" s="1">
        <f t="shared" si="10"/>
        <v>9.1128841486195641E-2</v>
      </c>
      <c r="F156" s="1">
        <f t="shared" si="11"/>
        <v>0.6639784852460624</v>
      </c>
      <c r="G156" s="1">
        <f t="shared" si="12"/>
        <v>0.1516173342076291</v>
      </c>
      <c r="H156" s="1">
        <f t="shared" si="11"/>
        <v>0.51236115103843327</v>
      </c>
    </row>
    <row r="157" spans="1:8" x14ac:dyDescent="0.35">
      <c r="A157" s="3">
        <f t="shared" si="9"/>
        <v>43955</v>
      </c>
      <c r="B157" s="1">
        <v>0.74456649909244199</v>
      </c>
      <c r="C157" s="1">
        <f t="shared" si="13"/>
        <v>-1.1974950237357895E-2</v>
      </c>
      <c r="D157" s="1">
        <f t="shared" si="11"/>
        <v>0.74456649909244199</v>
      </c>
      <c r="E157" s="1">
        <f t="shared" si="10"/>
        <v>8.7549507981484032E-2</v>
      </c>
      <c r="F157" s="1">
        <f t="shared" si="11"/>
        <v>0.65701699111095802</v>
      </c>
      <c r="G157" s="1">
        <f t="shared" si="12"/>
        <v>0.13354559603701893</v>
      </c>
      <c r="H157" s="1">
        <f t="shared" si="11"/>
        <v>0.52347139507393914</v>
      </c>
    </row>
    <row r="158" spans="1:8" x14ac:dyDescent="0.35">
      <c r="A158" s="3">
        <f t="shared" si="9"/>
        <v>43956</v>
      </c>
      <c r="B158" s="1">
        <v>0.69318290031068708</v>
      </c>
      <c r="C158" s="1">
        <f t="shared" si="13"/>
        <v>-6.053354279699516E-2</v>
      </c>
      <c r="D158" s="1">
        <f t="shared" si="11"/>
        <v>0.69318290031068708</v>
      </c>
      <c r="E158" s="1">
        <f t="shared" si="10"/>
        <v>4.1181399085453985E-2</v>
      </c>
      <c r="F158" s="1">
        <f t="shared" si="11"/>
        <v>0.65200150122523315</v>
      </c>
      <c r="G158" s="1">
        <f t="shared" si="12"/>
        <v>0.11870226731923234</v>
      </c>
      <c r="H158" s="1">
        <f t="shared" si="11"/>
        <v>0.53329923390600076</v>
      </c>
    </row>
    <row r="159" spans="1:8" x14ac:dyDescent="0.35">
      <c r="A159" s="3">
        <f t="shared" si="9"/>
        <v>43957</v>
      </c>
      <c r="B159" s="1">
        <v>0.65517450331985305</v>
      </c>
      <c r="C159" s="1">
        <f t="shared" si="13"/>
        <v>-9.2576609190898274E-2</v>
      </c>
      <c r="D159" s="1">
        <f t="shared" si="11"/>
        <v>0.65517450331985305</v>
      </c>
      <c r="E159" s="1">
        <f t="shared" si="10"/>
        <v>4.9711534938121429E-3</v>
      </c>
      <c r="F159" s="1">
        <f t="shared" si="11"/>
        <v>0.65020334982604089</v>
      </c>
      <c r="G159" s="1">
        <f t="shared" si="12"/>
        <v>0.10806887654856737</v>
      </c>
      <c r="H159" s="1">
        <f t="shared" si="11"/>
        <v>0.54213447327747355</v>
      </c>
    </row>
    <row r="160" spans="1:8" x14ac:dyDescent="0.35">
      <c r="A160" s="3">
        <f t="shared" si="9"/>
        <v>43958</v>
      </c>
      <c r="B160" s="1">
        <v>0.61574836233247965</v>
      </c>
      <c r="C160" s="1">
        <f t="shared" si="13"/>
        <v>-0.12358102420192781</v>
      </c>
      <c r="D160" s="1">
        <f t="shared" si="11"/>
        <v>0.61574836233247965</v>
      </c>
      <c r="E160" s="1">
        <f t="shared" si="10"/>
        <v>-3.5650278061118652E-2</v>
      </c>
      <c r="F160" s="1">
        <f t="shared" si="11"/>
        <v>0.61574836233247965</v>
      </c>
      <c r="G160" s="1">
        <f t="shared" si="12"/>
        <v>6.6800785344872132E-2</v>
      </c>
      <c r="H160" s="1">
        <f t="shared" si="11"/>
        <v>0.54894757698760754</v>
      </c>
    </row>
    <row r="161" spans="1:8" x14ac:dyDescent="0.35">
      <c r="A161" s="3">
        <f t="shared" si="9"/>
        <v>43959</v>
      </c>
      <c r="B161" s="1">
        <v>0.60709992572109273</v>
      </c>
      <c r="C161" s="1">
        <f t="shared" si="13"/>
        <v>-0.12263656762524314</v>
      </c>
      <c r="D161" s="1">
        <f t="shared" si="11"/>
        <v>0.60709992572109273</v>
      </c>
      <c r="E161" s="1">
        <f t="shared" si="10"/>
        <v>-4.7539890053598453E-2</v>
      </c>
      <c r="F161" s="1">
        <f t="shared" si="11"/>
        <v>0.60709992572109273</v>
      </c>
      <c r="G161" s="1">
        <f t="shared" si="12"/>
        <v>5.3466606205546809E-2</v>
      </c>
      <c r="H161" s="1">
        <f t="shared" si="11"/>
        <v>0.55363331951554595</v>
      </c>
    </row>
    <row r="162" spans="1:8" x14ac:dyDescent="0.35">
      <c r="A162" s="3">
        <f t="shared" si="9"/>
        <v>43960</v>
      </c>
      <c r="B162" s="1">
        <v>0.56519903109054415</v>
      </c>
      <c r="C162" s="1">
        <f t="shared" si="13"/>
        <v>-0.1537684361352529</v>
      </c>
      <c r="D162" s="1">
        <f t="shared" si="11"/>
        <v>0.56519903109054415</v>
      </c>
      <c r="E162" s="1">
        <f t="shared" si="10"/>
        <v>-9.4994055281623191E-2</v>
      </c>
      <c r="F162" s="1">
        <f t="shared" si="11"/>
        <v>0.56519903109054415</v>
      </c>
      <c r="G162" s="1">
        <f t="shared" si="12"/>
        <v>9.1269996582277954E-3</v>
      </c>
      <c r="H162" s="1">
        <f t="shared" si="11"/>
        <v>0.55607203143231632</v>
      </c>
    </row>
    <row r="163" spans="1:8" x14ac:dyDescent="0.35">
      <c r="A163" s="3">
        <f t="shared" ref="A163:A226" si="14">A162+1</f>
        <v>43961</v>
      </c>
      <c r="B163" s="1">
        <v>0.57897278313535527</v>
      </c>
      <c r="C163" s="1">
        <f t="shared" si="13"/>
        <v>-0.12897856708197825</v>
      </c>
      <c r="D163" s="1">
        <f t="shared" si="11"/>
        <v>0.57897278313535527</v>
      </c>
      <c r="E163" s="1">
        <f t="shared" si="10"/>
        <v>-8.8364128582154033E-2</v>
      </c>
      <c r="F163" s="1">
        <f t="shared" si="11"/>
        <v>0.57897278313535527</v>
      </c>
      <c r="G163" s="1">
        <f t="shared" si="12"/>
        <v>2.169971102699142E-2</v>
      </c>
      <c r="H163" s="1">
        <f t="shared" si="11"/>
        <v>0.55727307210836385</v>
      </c>
    </row>
    <row r="164" spans="1:8" x14ac:dyDescent="0.35">
      <c r="A164" s="3">
        <f t="shared" si="14"/>
        <v>43962</v>
      </c>
      <c r="B164" s="1">
        <v>0.55462997470209585</v>
      </c>
      <c r="C164" s="1">
        <f t="shared" si="13"/>
        <v>-0.14273512766784208</v>
      </c>
      <c r="D164" s="1">
        <f t="shared" si="11"/>
        <v>0.55462997470209585</v>
      </c>
      <c r="E164" s="1">
        <f t="shared" si="10"/>
        <v>-0.12085846670180132</v>
      </c>
      <c r="F164" s="1">
        <f t="shared" si="11"/>
        <v>0.55462997470209585</v>
      </c>
      <c r="G164" s="1">
        <f t="shared" si="12"/>
        <v>-3.3577204170451326E-3</v>
      </c>
      <c r="H164" s="1">
        <f t="shared" si="11"/>
        <v>0.55462997470209585</v>
      </c>
    </row>
    <row r="165" spans="1:8" x14ac:dyDescent="0.35">
      <c r="A165" s="3">
        <f t="shared" si="14"/>
        <v>43963</v>
      </c>
      <c r="B165" s="1">
        <v>0.53143521385542503</v>
      </c>
      <c r="C165" s="1">
        <f t="shared" si="13"/>
        <v>-0.15435495040767461</v>
      </c>
      <c r="D165" s="1">
        <f t="shared" si="11"/>
        <v>0.53143521385542503</v>
      </c>
      <c r="E165" s="1">
        <f t="shared" si="10"/>
        <v>-0.15479289082888864</v>
      </c>
      <c r="F165" s="1">
        <f t="shared" si="11"/>
        <v>0.53143521385542503</v>
      </c>
      <c r="G165" s="1">
        <f t="shared" si="12"/>
        <v>-2.5430848700687417E-2</v>
      </c>
      <c r="H165" s="1">
        <f t="shared" si="11"/>
        <v>0.53143521385542503</v>
      </c>
    </row>
    <row r="166" spans="1:8" x14ac:dyDescent="0.35">
      <c r="A166" s="3">
        <f t="shared" si="14"/>
        <v>43964</v>
      </c>
      <c r="B166" s="1">
        <v>0.51160312847450118</v>
      </c>
      <c r="C166" s="1">
        <f t="shared" si="13"/>
        <v>-0.1618667113062382</v>
      </c>
      <c r="D166" s="1">
        <f t="shared" si="11"/>
        <v>0.51160312847450118</v>
      </c>
      <c r="E166" s="1">
        <f t="shared" si="10"/>
        <v>-0.18797975460327332</v>
      </c>
      <c r="F166" s="1">
        <f t="shared" si="11"/>
        <v>0.51160312847450118</v>
      </c>
      <c r="G166" s="1">
        <f t="shared" si="12"/>
        <v>-4.2611917227275066E-2</v>
      </c>
      <c r="H166" s="1">
        <f t="shared" si="11"/>
        <v>0.51160312847450118</v>
      </c>
    </row>
    <row r="167" spans="1:8" x14ac:dyDescent="0.35">
      <c r="A167" s="3">
        <f t="shared" si="14"/>
        <v>43965</v>
      </c>
      <c r="B167" s="1">
        <v>0.66119506026329866</v>
      </c>
      <c r="C167" s="1">
        <f t="shared" si="13"/>
        <v>-5.7444736115527528E-3</v>
      </c>
      <c r="D167" s="1">
        <f t="shared" si="11"/>
        <v>0.66119506026329866</v>
      </c>
      <c r="E167" s="1">
        <f t="shared" si="10"/>
        <v>-4.7564886763844016E-2</v>
      </c>
      <c r="F167" s="1">
        <f t="shared" si="11"/>
        <v>0.66119506026329866</v>
      </c>
      <c r="G167" s="1">
        <f t="shared" si="12"/>
        <v>0.10456621091148816</v>
      </c>
      <c r="H167" s="1">
        <f t="shared" si="11"/>
        <v>0.55662884935181056</v>
      </c>
    </row>
    <row r="168" spans="1:8" x14ac:dyDescent="0.35">
      <c r="A168" s="3">
        <f t="shared" si="14"/>
        <v>43966</v>
      </c>
      <c r="B168" s="1">
        <v>0.76933459922886061</v>
      </c>
      <c r="C168" s="1">
        <f t="shared" si="13"/>
        <v>9.8770668163667072E-2</v>
      </c>
      <c r="D168" s="1">
        <f t="shared" si="11"/>
        <v>0.67056393106519352</v>
      </c>
      <c r="E168" s="1">
        <f t="shared" si="10"/>
        <v>-4.1672809315697529E-2</v>
      </c>
      <c r="F168" s="1">
        <f t="shared" si="11"/>
        <v>0.67056393106519352</v>
      </c>
      <c r="G168" s="1">
        <f t="shared" si="12"/>
        <v>0.10574128323995034</v>
      </c>
      <c r="H168" s="1">
        <f t="shared" si="11"/>
        <v>0.56482264782524316</v>
      </c>
    </row>
    <row r="169" spans="1:8" x14ac:dyDescent="0.35">
      <c r="A169" s="3">
        <f t="shared" si="14"/>
        <v>43967</v>
      </c>
      <c r="B169" s="1">
        <v>0.60500577498888009</v>
      </c>
      <c r="C169" s="1">
        <f t="shared" si="13"/>
        <v>-6.6803625279589218E-2</v>
      </c>
      <c r="D169" s="1">
        <f t="shared" si="11"/>
        <v>0.60500577498888009</v>
      </c>
      <c r="E169" s="1">
        <f t="shared" si="10"/>
        <v>-0.11326760490718833</v>
      </c>
      <c r="F169" s="1">
        <f t="shared" si="11"/>
        <v>0.60500577498888009</v>
      </c>
      <c r="G169" s="1">
        <f t="shared" si="12"/>
        <v>3.4710961773502386E-2</v>
      </c>
      <c r="H169" s="1">
        <f t="shared" si="11"/>
        <v>0.57029481321537767</v>
      </c>
    </row>
    <row r="170" spans="1:8" x14ac:dyDescent="0.35">
      <c r="A170" s="3">
        <f t="shared" si="14"/>
        <v>43968</v>
      </c>
      <c r="B170" s="1">
        <v>3.3599261358698711</v>
      </c>
      <c r="C170" s="1">
        <f t="shared" si="13"/>
        <v>2.5898174939643339</v>
      </c>
      <c r="D170" s="1">
        <f t="shared" si="11"/>
        <v>0.77010864190553718</v>
      </c>
      <c r="E170" s="1">
        <f t="shared" si="10"/>
        <v>4.9344761621723382E-2</v>
      </c>
      <c r="F170" s="1">
        <f t="shared" si="11"/>
        <v>0.72076388028381377</v>
      </c>
      <c r="G170" s="1">
        <f t="shared" si="12"/>
        <v>0.1435248159868634</v>
      </c>
      <c r="H170" s="1">
        <f t="shared" si="11"/>
        <v>0.57723906429695038</v>
      </c>
    </row>
    <row r="171" spans="1:8" x14ac:dyDescent="0.35">
      <c r="A171" s="3">
        <f t="shared" si="14"/>
        <v>43969</v>
      </c>
      <c r="B171" s="1">
        <v>3.5797367523728045</v>
      </c>
      <c r="C171" s="1">
        <f t="shared" si="13"/>
        <v>2.6071489003010826</v>
      </c>
      <c r="D171" s="1">
        <f t="shared" si="11"/>
        <v>0.97258785207172194</v>
      </c>
      <c r="E171" s="1">
        <f t="shared" si="10"/>
        <v>0.26403351503424455</v>
      </c>
      <c r="F171" s="1">
        <f t="shared" si="11"/>
        <v>0.70855433703747739</v>
      </c>
      <c r="G171" s="1">
        <f t="shared" si="12"/>
        <v>0.12100876941324988</v>
      </c>
      <c r="H171" s="1">
        <f t="shared" si="11"/>
        <v>0.58754556762422749</v>
      </c>
    </row>
    <row r="172" spans="1:8" x14ac:dyDescent="0.35">
      <c r="A172" s="3">
        <f t="shared" si="14"/>
        <v>43970</v>
      </c>
      <c r="B172" s="1">
        <v>2.5723841438798165</v>
      </c>
      <c r="C172" s="1">
        <f t="shared" si="13"/>
        <v>1.4420358471040005</v>
      </c>
      <c r="D172" s="1">
        <f t="shared" si="11"/>
        <v>1.1303482967758161</v>
      </c>
      <c r="E172" s="1">
        <f t="shared" si="10"/>
        <v>0.4495977762831731</v>
      </c>
      <c r="F172" s="1">
        <f t="shared" si="11"/>
        <v>0.68075052049264295</v>
      </c>
      <c r="G172" s="1">
        <f t="shared" si="12"/>
        <v>8.5171938282852994E-2</v>
      </c>
      <c r="H172" s="1">
        <f t="shared" si="11"/>
        <v>0.59557858220978999</v>
      </c>
    </row>
    <row r="173" spans="1:8" x14ac:dyDescent="0.35">
      <c r="A173" s="3">
        <f t="shared" si="14"/>
        <v>43971</v>
      </c>
      <c r="B173" s="1">
        <v>1.6031583842629324</v>
      </c>
      <c r="C173" s="1">
        <f t="shared" si="13"/>
        <v>0.40100336493994959</v>
      </c>
      <c r="D173" s="1">
        <f t="shared" si="11"/>
        <v>1.2021550193229829</v>
      </c>
      <c r="E173" s="1">
        <f t="shared" si="10"/>
        <v>0.56076945592953631</v>
      </c>
      <c r="F173" s="1">
        <f t="shared" si="11"/>
        <v>0.64138556339344654</v>
      </c>
      <c r="G173" s="1">
        <f t="shared" si="12"/>
        <v>4.0895271703662486E-2</v>
      </c>
      <c r="H173" s="1">
        <f t="shared" si="11"/>
        <v>0.60049029168978407</v>
      </c>
    </row>
    <row r="174" spans="1:8" x14ac:dyDescent="0.35">
      <c r="A174" s="3">
        <f t="shared" si="14"/>
        <v>43972</v>
      </c>
      <c r="B174" s="1">
        <v>1.0609780750928222</v>
      </c>
      <c r="C174" s="1">
        <f t="shared" si="13"/>
        <v>-0.15092043500677771</v>
      </c>
      <c r="D174" s="1">
        <f t="shared" si="11"/>
        <v>1.0609780750928222</v>
      </c>
      <c r="E174" s="1">
        <f t="shared" si="10"/>
        <v>0.45933691579243963</v>
      </c>
      <c r="F174" s="1">
        <f t="shared" si="11"/>
        <v>0.60164115930038253</v>
      </c>
      <c r="G174" s="1">
        <f t="shared" si="12"/>
        <v>-4.2586261368631612E-4</v>
      </c>
      <c r="H174" s="1">
        <f t="shared" si="11"/>
        <v>0.60164115930038253</v>
      </c>
    </row>
    <row r="175" spans="1:8" x14ac:dyDescent="0.35">
      <c r="A175" s="3">
        <f t="shared" si="14"/>
        <v>43973</v>
      </c>
      <c r="B175" s="1">
        <v>0.86412419867110979</v>
      </c>
      <c r="C175" s="1">
        <f t="shared" si="13"/>
        <v>-0.32907325843716756</v>
      </c>
      <c r="D175" s="1">
        <f t="shared" si="11"/>
        <v>0.86412419867110979</v>
      </c>
      <c r="E175" s="1">
        <f t="shared" si="10"/>
        <v>0.29174601052599075</v>
      </c>
      <c r="F175" s="1">
        <f t="shared" si="11"/>
        <v>0.57237818814511909</v>
      </c>
      <c r="G175" s="1">
        <f t="shared" si="12"/>
        <v>-2.8559532654600903E-2</v>
      </c>
      <c r="H175" s="1">
        <f t="shared" si="11"/>
        <v>0.57237818814511909</v>
      </c>
    </row>
    <row r="176" spans="1:8" x14ac:dyDescent="0.35">
      <c r="A176" s="3">
        <f t="shared" si="14"/>
        <v>43974</v>
      </c>
      <c r="B176" s="1">
        <v>0.73682916642234264</v>
      </c>
      <c r="C176" s="1">
        <f t="shared" si="13"/>
        <v>-0.42691423259381833</v>
      </c>
      <c r="D176" s="1">
        <f t="shared" si="11"/>
        <v>0.73682916642234264</v>
      </c>
      <c r="E176" s="1">
        <f t="shared" si="10"/>
        <v>0.18294545079627283</v>
      </c>
      <c r="F176" s="1">
        <f t="shared" si="11"/>
        <v>0.55388371562606986</v>
      </c>
      <c r="G176" s="1">
        <f t="shared" si="12"/>
        <v>-4.4218497505090729E-2</v>
      </c>
      <c r="H176" s="1">
        <f t="shared" si="11"/>
        <v>0.55388371562606986</v>
      </c>
    </row>
    <row r="177" spans="1:8" x14ac:dyDescent="0.35">
      <c r="A177" s="3">
        <f t="shared" si="14"/>
        <v>43975</v>
      </c>
      <c r="B177" s="1">
        <v>0.68211490367855587</v>
      </c>
      <c r="C177" s="1">
        <f t="shared" si="13"/>
        <v>-0.44755814304017677</v>
      </c>
      <c r="D177" s="1">
        <f t="shared" si="11"/>
        <v>0.68211490367855587</v>
      </c>
      <c r="E177" s="1">
        <f t="shared" si="10"/>
        <v>0.14084645719500333</v>
      </c>
      <c r="F177" s="1">
        <f t="shared" si="11"/>
        <v>0.54126844648355255</v>
      </c>
      <c r="G177" s="1">
        <f t="shared" si="12"/>
        <v>-5.3044306741881847E-2</v>
      </c>
      <c r="H177" s="1">
        <f t="shared" si="11"/>
        <v>0.54126844648355255</v>
      </c>
    </row>
    <row r="178" spans="1:8" x14ac:dyDescent="0.35">
      <c r="A178" s="3">
        <f t="shared" si="14"/>
        <v>43976</v>
      </c>
      <c r="B178" s="1">
        <v>0.62940948365968474</v>
      </c>
      <c r="C178" s="1">
        <f t="shared" si="13"/>
        <v>-0.464720249080327</v>
      </c>
      <c r="D178" s="1">
        <f t="shared" si="11"/>
        <v>0.62940948365968474</v>
      </c>
      <c r="E178" s="1">
        <f t="shared" si="10"/>
        <v>9.7424313974962012E-2</v>
      </c>
      <c r="F178" s="1">
        <f t="shared" si="11"/>
        <v>0.53198516968472276</v>
      </c>
      <c r="G178" s="1">
        <f t="shared" si="12"/>
        <v>-5.8001137655114381E-2</v>
      </c>
      <c r="H178" s="1">
        <f t="shared" si="11"/>
        <v>0.53198516968472276</v>
      </c>
    </row>
    <row r="179" spans="1:8" x14ac:dyDescent="0.35">
      <c r="A179" s="3">
        <f t="shared" si="14"/>
        <v>43977</v>
      </c>
      <c r="B179" s="1">
        <v>0.61029121048552237</v>
      </c>
      <c r="C179" s="1">
        <f t="shared" si="13"/>
        <v>-0.44826756832943376</v>
      </c>
      <c r="D179" s="1">
        <f t="shared" si="11"/>
        <v>0.61029121048552237</v>
      </c>
      <c r="E179" s="1">
        <f t="shared" si="10"/>
        <v>8.5430244372789982E-2</v>
      </c>
      <c r="F179" s="1">
        <f t="shared" si="11"/>
        <v>0.52486096611273236</v>
      </c>
      <c r="G179" s="1">
        <f t="shared" si="12"/>
        <v>-6.0508098269021558E-2</v>
      </c>
      <c r="H179" s="1">
        <f t="shared" si="11"/>
        <v>0.52486096611273236</v>
      </c>
    </row>
    <row r="180" spans="1:8" x14ac:dyDescent="0.35">
      <c r="A180" s="3">
        <f t="shared" si="14"/>
        <v>43978</v>
      </c>
      <c r="B180" s="1">
        <v>0.55201936050507527</v>
      </c>
      <c r="C180" s="1">
        <f t="shared" si="13"/>
        <v>-0.47073415631090654</v>
      </c>
      <c r="D180" s="1">
        <f t="shared" si="11"/>
        <v>0.55201936050507527</v>
      </c>
      <c r="E180" s="1">
        <f t="shared" si="10"/>
        <v>3.1722798666605025E-2</v>
      </c>
      <c r="F180" s="1">
        <f t="shared" si="11"/>
        <v>0.52029656183847028</v>
      </c>
      <c r="G180" s="1">
        <f t="shared" si="12"/>
        <v>-6.0363230012822199E-2</v>
      </c>
      <c r="H180" s="1">
        <f t="shared" si="11"/>
        <v>0.52029656183847028</v>
      </c>
    </row>
    <row r="181" spans="1:8" x14ac:dyDescent="0.35">
      <c r="A181" s="3">
        <f t="shared" si="14"/>
        <v>43979</v>
      </c>
      <c r="B181" s="1">
        <v>0.5921584819654252</v>
      </c>
      <c r="C181" s="1">
        <f t="shared" si="13"/>
        <v>-0.39679519018200177</v>
      </c>
      <c r="D181" s="1">
        <f t="shared" si="11"/>
        <v>0.5921584819654252</v>
      </c>
      <c r="E181" s="1">
        <f t="shared" si="10"/>
        <v>7.6061300618585764E-2</v>
      </c>
      <c r="F181" s="1">
        <f t="shared" si="11"/>
        <v>0.51609718134683946</v>
      </c>
      <c r="G181" s="1">
        <f t="shared" si="12"/>
        <v>-5.98778914850552E-2</v>
      </c>
      <c r="H181" s="1">
        <f t="shared" si="11"/>
        <v>0.51609718134683946</v>
      </c>
    </row>
    <row r="182" spans="1:8" x14ac:dyDescent="0.35">
      <c r="A182" s="3">
        <f t="shared" si="14"/>
        <v>43980</v>
      </c>
      <c r="B182" s="1">
        <v>0.75137739444886398</v>
      </c>
      <c r="C182" s="1">
        <f t="shared" si="13"/>
        <v>-0.21378734765304183</v>
      </c>
      <c r="D182" s="1">
        <f t="shared" si="11"/>
        <v>0.75137739444886398</v>
      </c>
      <c r="E182" s="1">
        <f t="shared" si="10"/>
        <v>0.24790216636096821</v>
      </c>
      <c r="F182" s="1">
        <f t="shared" si="11"/>
        <v>0.5034752280878958</v>
      </c>
      <c r="G182" s="1">
        <f t="shared" si="12"/>
        <v>-6.7535679635409337E-2</v>
      </c>
      <c r="H182" s="1">
        <f t="shared" si="11"/>
        <v>0.5034752280878958</v>
      </c>
    </row>
    <row r="183" spans="1:8" x14ac:dyDescent="0.35">
      <c r="A183" s="3">
        <f t="shared" si="14"/>
        <v>43981</v>
      </c>
      <c r="B183" s="1">
        <v>0.56364326987571156</v>
      </c>
      <c r="C183" s="1">
        <f t="shared" si="13"/>
        <v>-0.37844739148072293</v>
      </c>
      <c r="D183" s="1">
        <f t="shared" si="11"/>
        <v>0.56364326987571156</v>
      </c>
      <c r="E183" s="1">
        <f t="shared" si="10"/>
        <v>7.2657374550604309E-2</v>
      </c>
      <c r="F183" s="1">
        <f t="shared" si="11"/>
        <v>0.49098589532510728</v>
      </c>
      <c r="G183" s="1">
        <f t="shared" si="12"/>
        <v>-7.4491486446937594E-2</v>
      </c>
      <c r="H183" s="1">
        <f t="shared" si="11"/>
        <v>0.49098589532510728</v>
      </c>
    </row>
    <row r="184" spans="1:8" x14ac:dyDescent="0.35">
      <c r="A184" s="3">
        <f t="shared" si="14"/>
        <v>43982</v>
      </c>
      <c r="B184" s="1">
        <v>0.51312722932660559</v>
      </c>
      <c r="C184" s="1">
        <f t="shared" si="13"/>
        <v>-0.3986855261481832</v>
      </c>
      <c r="D184" s="1">
        <f t="shared" si="11"/>
        <v>0.51312722932660559</v>
      </c>
      <c r="E184" s="1">
        <f t="shared" si="10"/>
        <v>2.5984524888745739E-2</v>
      </c>
      <c r="F184" s="1">
        <f t="shared" si="11"/>
        <v>0.48714270443785984</v>
      </c>
      <c r="G184" s="1">
        <f t="shared" si="12"/>
        <v>-7.260369619239293E-2</v>
      </c>
      <c r="H184" s="1">
        <f t="shared" si="11"/>
        <v>0.48714270443785984</v>
      </c>
    </row>
    <row r="185" spans="1:8" x14ac:dyDescent="0.35">
      <c r="A185" s="3">
        <f t="shared" si="14"/>
        <v>43983</v>
      </c>
      <c r="B185" s="1">
        <v>0.48719337772765919</v>
      </c>
      <c r="C185" s="1">
        <f t="shared" si="13"/>
        <v>-0.39374544385105537</v>
      </c>
      <c r="D185" s="1">
        <f t="shared" si="11"/>
        <v>0.48719337772765919</v>
      </c>
      <c r="E185" s="1">
        <f t="shared" si="10"/>
        <v>1.1061542970376499E-3</v>
      </c>
      <c r="F185" s="1">
        <f t="shared" si="11"/>
        <v>0.48608722343062155</v>
      </c>
      <c r="G185" s="1">
        <f t="shared" si="12"/>
        <v>-6.8174319447430312E-2</v>
      </c>
      <c r="H185" s="1">
        <f t="shared" si="11"/>
        <v>0.48608722343062155</v>
      </c>
    </row>
    <row r="186" spans="1:8" x14ac:dyDescent="0.35">
      <c r="A186" s="3">
        <f t="shared" si="14"/>
        <v>43984</v>
      </c>
      <c r="B186" s="1">
        <v>0.49014373992807481</v>
      </c>
      <c r="C186" s="1">
        <f t="shared" si="13"/>
        <v>-0.36137481194432619</v>
      </c>
      <c r="D186" s="1">
        <f t="shared" si="11"/>
        <v>0.49014373992807481</v>
      </c>
      <c r="E186" s="1">
        <f t="shared" si="10"/>
        <v>4.265813962094786E-3</v>
      </c>
      <c r="F186" s="1">
        <f t="shared" si="11"/>
        <v>0.48587792596598001</v>
      </c>
      <c r="G186" s="1">
        <f t="shared" si="12"/>
        <v>-6.3262694298590522E-2</v>
      </c>
      <c r="H186" s="1">
        <f t="shared" si="11"/>
        <v>0.48587792596598001</v>
      </c>
    </row>
    <row r="187" spans="1:8" x14ac:dyDescent="0.35">
      <c r="A187" s="3">
        <f t="shared" si="14"/>
        <v>43985</v>
      </c>
      <c r="B187" s="1">
        <v>0.59740995887872772</v>
      </c>
      <c r="C187" s="1">
        <f t="shared" si="13"/>
        <v>-0.23102796530849828</v>
      </c>
      <c r="D187" s="1">
        <f t="shared" si="11"/>
        <v>0.59740995887872772</v>
      </c>
      <c r="E187" s="1">
        <f t="shared" si="10"/>
        <v>0.11622654021848455</v>
      </c>
      <c r="F187" s="1">
        <f t="shared" si="11"/>
        <v>0.48118341866024317</v>
      </c>
      <c r="G187" s="1">
        <f t="shared" si="12"/>
        <v>-6.3036455507967937E-2</v>
      </c>
      <c r="H187" s="1">
        <f t="shared" si="11"/>
        <v>0.48118341866024317</v>
      </c>
    </row>
    <row r="188" spans="1:8" x14ac:dyDescent="0.35">
      <c r="A188" s="3">
        <f t="shared" si="14"/>
        <v>43986</v>
      </c>
      <c r="B188" s="1">
        <v>0.4803562288031995</v>
      </c>
      <c r="C188" s="1">
        <f t="shared" si="13"/>
        <v>-0.32636508310805684</v>
      </c>
      <c r="D188" s="1">
        <f t="shared" si="11"/>
        <v>0.4803562288031995</v>
      </c>
      <c r="E188" s="1">
        <f t="shared" si="10"/>
        <v>3.8511621846363669E-3</v>
      </c>
      <c r="F188" s="1">
        <f t="shared" si="11"/>
        <v>0.47650506661856312</v>
      </c>
      <c r="G188" s="1">
        <f t="shared" si="12"/>
        <v>-6.2811635184987391E-2</v>
      </c>
      <c r="H188" s="1">
        <f t="shared" si="11"/>
        <v>0.47650506661856312</v>
      </c>
    </row>
    <row r="189" spans="1:8" x14ac:dyDescent="0.35">
      <c r="A189" s="3">
        <f t="shared" si="14"/>
        <v>43987</v>
      </c>
      <c r="B189" s="1">
        <v>0.52471157364395216</v>
      </c>
      <c r="C189" s="1">
        <f t="shared" si="13"/>
        <v>-0.25919568246572822</v>
      </c>
      <c r="D189" s="1">
        <f t="shared" si="11"/>
        <v>0.52471157364395216</v>
      </c>
      <c r="E189" s="1">
        <f t="shared" si="10"/>
        <v>5.0316953074444101E-2</v>
      </c>
      <c r="F189" s="1">
        <f t="shared" si="11"/>
        <v>0.47439462056950804</v>
      </c>
      <c r="G189" s="1">
        <f t="shared" si="12"/>
        <v>-6.0132066868328858E-2</v>
      </c>
      <c r="H189" s="1">
        <f t="shared" si="11"/>
        <v>0.47439462056950804</v>
      </c>
    </row>
    <row r="190" spans="1:8" x14ac:dyDescent="0.35">
      <c r="A190" s="3">
        <f t="shared" si="14"/>
        <v>43988</v>
      </c>
      <c r="B190" s="1">
        <v>0.4805355630186427</v>
      </c>
      <c r="C190" s="1">
        <f t="shared" si="13"/>
        <v>-0.28227541650765897</v>
      </c>
      <c r="D190" s="1">
        <f t="shared" si="11"/>
        <v>0.4805355630186427</v>
      </c>
      <c r="E190" s="1">
        <f t="shared" si="10"/>
        <v>8.4297760514418854E-3</v>
      </c>
      <c r="F190" s="1">
        <f t="shared" si="11"/>
        <v>0.47210578696720079</v>
      </c>
      <c r="G190" s="1">
        <f t="shared" si="12"/>
        <v>-5.7825164195424925E-2</v>
      </c>
      <c r="H190" s="1">
        <f t="shared" si="11"/>
        <v>0.47210578696720079</v>
      </c>
    </row>
    <row r="191" spans="1:8" x14ac:dyDescent="0.35">
      <c r="A191" s="3">
        <f t="shared" si="14"/>
        <v>43989</v>
      </c>
      <c r="B191" s="1">
        <v>0.44028329731060373</v>
      </c>
      <c r="C191" s="1">
        <f t="shared" si="13"/>
        <v>-0.2998475660135721</v>
      </c>
      <c r="D191" s="1">
        <f t="shared" si="11"/>
        <v>0.44028329731060373</v>
      </c>
      <c r="E191" s="1">
        <f t="shared" si="10"/>
        <v>-3.2770842910860132E-2</v>
      </c>
      <c r="F191" s="1">
        <f t="shared" si="11"/>
        <v>0.44028329731060373</v>
      </c>
      <c r="G191" s="1">
        <f t="shared" si="12"/>
        <v>-8.4117423175242734E-2</v>
      </c>
      <c r="H191" s="1">
        <f t="shared" si="11"/>
        <v>0.44028329731060373</v>
      </c>
    </row>
    <row r="192" spans="1:8" x14ac:dyDescent="0.35">
      <c r="A192" s="3">
        <f t="shared" si="14"/>
        <v>43990</v>
      </c>
      <c r="B192" s="1">
        <v>0.41989478170499717</v>
      </c>
      <c r="C192" s="1">
        <f t="shared" si="13"/>
        <v>-0.29698294483295051</v>
      </c>
      <c r="D192" s="1">
        <f t="shared" si="11"/>
        <v>0.41989478170499717</v>
      </c>
      <c r="E192" s="1">
        <f t="shared" si="10"/>
        <v>-5.6643015331088051E-2</v>
      </c>
      <c r="F192" s="1">
        <f t="shared" si="11"/>
        <v>0.41989478170499717</v>
      </c>
      <c r="G192" s="1">
        <f t="shared" si="12"/>
        <v>-9.7432562707495854E-2</v>
      </c>
      <c r="H192" s="1">
        <f t="shared" si="11"/>
        <v>0.41989478170499717</v>
      </c>
    </row>
    <row r="193" spans="1:8" x14ac:dyDescent="0.35">
      <c r="A193" s="3">
        <f t="shared" si="14"/>
        <v>43991</v>
      </c>
      <c r="B193" s="1">
        <v>0.46170702684025322</v>
      </c>
      <c r="C193" s="1">
        <f t="shared" si="13"/>
        <v>-0.23446493802779531</v>
      </c>
      <c r="D193" s="1">
        <f t="shared" si="11"/>
        <v>0.46170702684025322</v>
      </c>
      <c r="E193" s="1">
        <f t="shared" si="10"/>
        <v>-1.7728356095571995E-2</v>
      </c>
      <c r="F193" s="1">
        <f t="shared" si="11"/>
        <v>0.46170702684025322</v>
      </c>
      <c r="G193" s="1">
        <f t="shared" si="12"/>
        <v>-4.9880834561749708E-2</v>
      </c>
      <c r="H193" s="1">
        <f t="shared" si="11"/>
        <v>0.46170702684025322</v>
      </c>
    </row>
    <row r="194" spans="1:8" x14ac:dyDescent="0.35">
      <c r="A194" s="3">
        <f t="shared" si="14"/>
        <v>43992</v>
      </c>
      <c r="B194" s="1">
        <v>0.66621363919419629</v>
      </c>
      <c r="C194" s="1">
        <f t="shared" si="13"/>
        <v>-2.0042453285040451E-2</v>
      </c>
      <c r="D194" s="1">
        <f t="shared" si="11"/>
        <v>0.66621363919419629</v>
      </c>
      <c r="E194" s="1">
        <f t="shared" si="10"/>
        <v>0.19363163058929536</v>
      </c>
      <c r="F194" s="1">
        <f t="shared" si="11"/>
        <v>0.47258200860490096</v>
      </c>
      <c r="G194" s="1">
        <f t="shared" si="12"/>
        <v>-3.5672602021145028E-2</v>
      </c>
      <c r="H194" s="1">
        <f t="shared" si="11"/>
        <v>0.47258200860490096</v>
      </c>
    </row>
    <row r="195" spans="1:8" x14ac:dyDescent="0.35">
      <c r="A195" s="3">
        <f t="shared" si="14"/>
        <v>43993</v>
      </c>
      <c r="B195" s="1">
        <v>0.60882897438192429</v>
      </c>
      <c r="C195" s="1">
        <f t="shared" si="13"/>
        <v>-7.3772009170474218E-2</v>
      </c>
      <c r="D195" s="1">
        <f t="shared" si="11"/>
        <v>0.60882897438192429</v>
      </c>
      <c r="E195" s="1">
        <f t="shared" ref="E195:E258" si="15">alpha*E196+(1+alpha)/2*(D195-D196)</f>
        <v>0.14962042238646872</v>
      </c>
      <c r="F195" s="1">
        <f t="shared" si="11"/>
        <v>0.45920855199545557</v>
      </c>
      <c r="G195" s="1">
        <f t="shared" si="12"/>
        <v>-4.5869108856150337E-2</v>
      </c>
      <c r="H195" s="1">
        <f t="shared" si="11"/>
        <v>0.45920855199545557</v>
      </c>
    </row>
    <row r="196" spans="1:8" x14ac:dyDescent="0.35">
      <c r="A196" s="3">
        <f t="shared" si="14"/>
        <v>43994</v>
      </c>
      <c r="B196" s="1">
        <v>0.45807485655158658</v>
      </c>
      <c r="C196" s="1">
        <f t="shared" si="13"/>
        <v>-0.2133399468943887</v>
      </c>
      <c r="D196" s="1">
        <f t="shared" ref="D196:H259" si="16">B196-MAX(0,C196)</f>
        <v>0.45807485655158658</v>
      </c>
      <c r="E196" s="1">
        <f t="shared" si="15"/>
        <v>4.8860367294796467E-3</v>
      </c>
      <c r="F196" s="1">
        <f t="shared" si="16"/>
        <v>0.45318881982210696</v>
      </c>
      <c r="G196" s="1">
        <f t="shared" ref="G196:G259" si="17">alpha*G195+(1+alpha)/2*(F196-F195)</f>
        <v>-4.8222917908787098E-2</v>
      </c>
      <c r="H196" s="1">
        <f t="shared" si="16"/>
        <v>0.45318881982210696</v>
      </c>
    </row>
    <row r="197" spans="1:8" x14ac:dyDescent="0.35">
      <c r="A197" s="3">
        <f t="shared" si="14"/>
        <v>43995</v>
      </c>
      <c r="B197" s="1">
        <v>0.40669036072192372</v>
      </c>
      <c r="C197" s="1">
        <f t="shared" ref="C197:C260" si="18">alpha*C196+(1+alpha)/2*(B197-B196)</f>
        <v>-0.24679702811336007</v>
      </c>
      <c r="D197" s="1">
        <f t="shared" si="16"/>
        <v>0.40669036072192372</v>
      </c>
      <c r="E197" s="1">
        <f t="shared" si="15"/>
        <v>-4.8185449196292827E-2</v>
      </c>
      <c r="F197" s="1">
        <f t="shared" si="16"/>
        <v>0.40669036072192372</v>
      </c>
      <c r="G197" s="1">
        <f t="shared" si="17"/>
        <v>-8.9360965949554436E-2</v>
      </c>
      <c r="H197" s="1">
        <f t="shared" si="16"/>
        <v>0.40669036072192372</v>
      </c>
    </row>
    <row r="198" spans="1:8" x14ac:dyDescent="0.35">
      <c r="A198" s="3">
        <f t="shared" si="14"/>
        <v>43996</v>
      </c>
      <c r="B198" s="1">
        <v>0.37969634317212614</v>
      </c>
      <c r="C198" s="1">
        <f t="shared" si="18"/>
        <v>-0.25426899289653826</v>
      </c>
      <c r="D198" s="1">
        <f t="shared" si="16"/>
        <v>0.37969634317212614</v>
      </c>
      <c r="E198" s="1">
        <f t="shared" si="15"/>
        <v>-8.0180747122132967E-2</v>
      </c>
      <c r="F198" s="1">
        <f t="shared" si="16"/>
        <v>0.37969634317212614</v>
      </c>
      <c r="G198" s="1">
        <f t="shared" si="17"/>
        <v>-0.10864063539501803</v>
      </c>
      <c r="H198" s="1">
        <f t="shared" si="16"/>
        <v>0.37969634317212614</v>
      </c>
    </row>
    <row r="199" spans="1:8" x14ac:dyDescent="0.35">
      <c r="A199" s="3">
        <f t="shared" si="14"/>
        <v>43997</v>
      </c>
      <c r="B199" s="1">
        <v>0.37573930770628944</v>
      </c>
      <c r="C199" s="1">
        <f t="shared" si="18"/>
        <v>-0.23900746506516574</v>
      </c>
      <c r="D199" s="1">
        <f t="shared" si="16"/>
        <v>0.37573930770628944</v>
      </c>
      <c r="E199" s="1">
        <f t="shared" si="15"/>
        <v>-9.0799344603244098E-2</v>
      </c>
      <c r="F199" s="1">
        <f t="shared" si="16"/>
        <v>0.37573930770628944</v>
      </c>
      <c r="G199" s="1">
        <f t="shared" si="17"/>
        <v>-0.10430123437625952</v>
      </c>
      <c r="H199" s="1">
        <f t="shared" si="16"/>
        <v>0.37573930770628944</v>
      </c>
    </row>
    <row r="200" spans="1:8" x14ac:dyDescent="0.35">
      <c r="A200" s="3">
        <f t="shared" si="14"/>
        <v>43998</v>
      </c>
      <c r="B200" s="1">
        <v>0.3664651462138015</v>
      </c>
      <c r="C200" s="1">
        <f t="shared" si="18"/>
        <v>-0.23000828562179795</v>
      </c>
      <c r="D200" s="1">
        <f t="shared" si="16"/>
        <v>0.3664651462138015</v>
      </c>
      <c r="E200" s="1">
        <f t="shared" si="15"/>
        <v>-0.10781159463758241</v>
      </c>
      <c r="F200" s="1">
        <f t="shared" si="16"/>
        <v>0.3664651462138015</v>
      </c>
      <c r="G200" s="1">
        <f t="shared" si="17"/>
        <v>-0.10540502223455969</v>
      </c>
      <c r="H200" s="1">
        <f t="shared" si="16"/>
        <v>0.3664651462138015</v>
      </c>
    </row>
    <row r="201" spans="1:8" x14ac:dyDescent="0.35">
      <c r="A201" s="3">
        <f t="shared" si="14"/>
        <v>43999</v>
      </c>
      <c r="B201" s="1">
        <v>0.37044326653852228</v>
      </c>
      <c r="C201" s="1">
        <f t="shared" si="18"/>
        <v>-0.20892872338761936</v>
      </c>
      <c r="D201" s="1">
        <f t="shared" si="16"/>
        <v>0.37044326653852228</v>
      </c>
      <c r="E201" s="1">
        <f t="shared" si="15"/>
        <v>-0.1124136798108526</v>
      </c>
      <c r="F201" s="1">
        <f t="shared" si="16"/>
        <v>0.37044326653852228</v>
      </c>
      <c r="G201" s="1">
        <f t="shared" si="17"/>
        <v>-9.3670704754423961E-2</v>
      </c>
      <c r="H201" s="1">
        <f t="shared" si="16"/>
        <v>0.37044326653852228</v>
      </c>
    </row>
    <row r="202" spans="1:8" x14ac:dyDescent="0.35">
      <c r="A202" s="3">
        <f t="shared" si="14"/>
        <v>44000</v>
      </c>
      <c r="B202" s="1">
        <v>0.36177540387296198</v>
      </c>
      <c r="C202" s="1">
        <f t="shared" si="18"/>
        <v>-0.20160188694914971</v>
      </c>
      <c r="D202" s="1">
        <f t="shared" si="16"/>
        <v>0.36177540387296198</v>
      </c>
      <c r="E202" s="1">
        <f t="shared" si="15"/>
        <v>-0.1305475650015723</v>
      </c>
      <c r="F202" s="1">
        <f t="shared" si="16"/>
        <v>0.36177540387296198</v>
      </c>
      <c r="G202" s="1">
        <f t="shared" si="17"/>
        <v>-9.4988219713443955E-2</v>
      </c>
      <c r="H202" s="1">
        <f t="shared" si="16"/>
        <v>0.36177540387296198</v>
      </c>
    </row>
    <row r="203" spans="1:8" x14ac:dyDescent="0.35">
      <c r="A203" s="3">
        <f t="shared" si="14"/>
        <v>44001</v>
      </c>
      <c r="B203" s="1">
        <v>0.35196331662254776</v>
      </c>
      <c r="C203" s="1">
        <f t="shared" si="18"/>
        <v>-0.19592587940648717</v>
      </c>
      <c r="D203" s="1">
        <f t="shared" si="16"/>
        <v>0.35196331662254776</v>
      </c>
      <c r="E203" s="1">
        <f t="shared" si="15"/>
        <v>-0.15134237727577943</v>
      </c>
      <c r="F203" s="1">
        <f t="shared" si="16"/>
        <v>0.35196331662254776</v>
      </c>
      <c r="G203" s="1">
        <f t="shared" si="17"/>
        <v>-9.7308237213459353E-2</v>
      </c>
      <c r="H203" s="1">
        <f t="shared" si="16"/>
        <v>0.35196331662254776</v>
      </c>
    </row>
    <row r="204" spans="1:8" x14ac:dyDescent="0.35">
      <c r="A204" s="3">
        <f t="shared" si="14"/>
        <v>44002</v>
      </c>
      <c r="B204" s="1">
        <v>0.3738675838533867</v>
      </c>
      <c r="C204" s="1">
        <f t="shared" si="18"/>
        <v>-0.16014858124131817</v>
      </c>
      <c r="D204" s="1">
        <f t="shared" si="16"/>
        <v>0.3738675838533867</v>
      </c>
      <c r="E204" s="1">
        <f t="shared" si="15"/>
        <v>-0.14082110277415885</v>
      </c>
      <c r="F204" s="1">
        <f t="shared" si="16"/>
        <v>0.3738675838533867</v>
      </c>
      <c r="G204" s="1">
        <f t="shared" si="17"/>
        <v>-6.8927262212767432E-2</v>
      </c>
      <c r="H204" s="1">
        <f t="shared" si="16"/>
        <v>0.3738675838533867</v>
      </c>
    </row>
    <row r="205" spans="1:8" x14ac:dyDescent="0.35">
      <c r="A205" s="3">
        <f t="shared" si="14"/>
        <v>44003</v>
      </c>
      <c r="B205" s="1">
        <v>0.35534969359687524</v>
      </c>
      <c r="C205" s="1">
        <f t="shared" si="18"/>
        <v>-0.1659609070201116</v>
      </c>
      <c r="D205" s="1">
        <f t="shared" si="16"/>
        <v>0.35534969359687524</v>
      </c>
      <c r="E205" s="1">
        <f t="shared" si="15"/>
        <v>-0.17150764556329851</v>
      </c>
      <c r="F205" s="1">
        <f t="shared" si="16"/>
        <v>0.35534969359687524</v>
      </c>
      <c r="G205" s="1">
        <f t="shared" si="17"/>
        <v>-8.158118691870217E-2</v>
      </c>
      <c r="H205" s="1">
        <f t="shared" si="16"/>
        <v>0.35534969359687524</v>
      </c>
    </row>
    <row r="206" spans="1:8" x14ac:dyDescent="0.35">
      <c r="A206" s="3">
        <f t="shared" si="14"/>
        <v>44004</v>
      </c>
      <c r="B206" s="1">
        <v>0.50432156472992207</v>
      </c>
      <c r="C206" s="1">
        <f t="shared" si="18"/>
        <v>-1.0128413028045652E-2</v>
      </c>
      <c r="D206" s="1">
        <f t="shared" si="16"/>
        <v>0.50432156472992207</v>
      </c>
      <c r="E206" s="1">
        <f t="shared" si="15"/>
        <v>-3.0402399565125322E-2</v>
      </c>
      <c r="F206" s="1">
        <f t="shared" si="16"/>
        <v>0.50432156472992207</v>
      </c>
      <c r="G206" s="1">
        <f t="shared" si="17"/>
        <v>6.7922828065758084E-2</v>
      </c>
      <c r="H206" s="1">
        <f t="shared" si="16"/>
        <v>0.43639873666416396</v>
      </c>
    </row>
    <row r="207" spans="1:8" x14ac:dyDescent="0.35">
      <c r="A207" s="3">
        <f t="shared" si="14"/>
        <v>44005</v>
      </c>
      <c r="B207" s="1">
        <v>1.0868513591300217</v>
      </c>
      <c r="C207" s="1">
        <f t="shared" si="18"/>
        <v>0.55131614505915372</v>
      </c>
      <c r="D207" s="1">
        <f t="shared" si="16"/>
        <v>0.53553521407086802</v>
      </c>
      <c r="E207" s="1">
        <f t="shared" si="15"/>
        <v>-3.883914318538878E-4</v>
      </c>
      <c r="F207" s="1">
        <f t="shared" si="16"/>
        <v>0.53553521407086802</v>
      </c>
      <c r="G207" s="1">
        <f t="shared" si="17"/>
        <v>9.287175345148671E-2</v>
      </c>
      <c r="H207" s="1">
        <f t="shared" si="16"/>
        <v>0.44266346061938133</v>
      </c>
    </row>
    <row r="208" spans="1:8" x14ac:dyDescent="0.35">
      <c r="A208" s="3">
        <f t="shared" si="14"/>
        <v>44006</v>
      </c>
      <c r="B208" s="1">
        <v>0.70341507310861662</v>
      </c>
      <c r="C208" s="1">
        <f t="shared" si="18"/>
        <v>0.14091000888411481</v>
      </c>
      <c r="D208" s="1">
        <f t="shared" si="16"/>
        <v>0.56250506422450175</v>
      </c>
      <c r="E208" s="1">
        <f t="shared" si="15"/>
        <v>2.7643339828128194E-2</v>
      </c>
      <c r="F208" s="1">
        <f t="shared" si="16"/>
        <v>0.53486172439637358</v>
      </c>
      <c r="G208" s="1">
        <f t="shared" si="17"/>
        <v>8.5258138130924324E-2</v>
      </c>
      <c r="H208" s="1">
        <f t="shared" si="16"/>
        <v>0.44960358626544927</v>
      </c>
    </row>
    <row r="209" spans="1:8" x14ac:dyDescent="0.35">
      <c r="A209" s="3">
        <f t="shared" si="14"/>
        <v>44007</v>
      </c>
      <c r="B209" s="1">
        <v>0.48438270633145614</v>
      </c>
      <c r="C209" s="1">
        <f t="shared" si="18"/>
        <v>-8.0476894805210752E-2</v>
      </c>
      <c r="D209" s="1">
        <f t="shared" si="16"/>
        <v>0.48438270633145614</v>
      </c>
      <c r="E209" s="1">
        <f t="shared" si="15"/>
        <v>-5.1404788804246711E-2</v>
      </c>
      <c r="F209" s="1">
        <f t="shared" si="16"/>
        <v>0.48438270633145614</v>
      </c>
      <c r="G209" s="1">
        <f t="shared" si="17"/>
        <v>3.0277722883621967E-2</v>
      </c>
      <c r="H209" s="1">
        <f t="shared" si="16"/>
        <v>0.45410498344783418</v>
      </c>
    </row>
    <row r="210" spans="1:8" x14ac:dyDescent="0.35">
      <c r="A210" s="3">
        <f t="shared" si="14"/>
        <v>44008</v>
      </c>
      <c r="B210" s="1">
        <v>0.58420376134806673</v>
      </c>
      <c r="C210" s="1">
        <f t="shared" si="18"/>
        <v>2.1636637758667754E-2</v>
      </c>
      <c r="D210" s="1">
        <f t="shared" si="16"/>
        <v>0.56256712358939898</v>
      </c>
      <c r="E210" s="1">
        <f t="shared" si="15"/>
        <v>2.5781311142187326E-2</v>
      </c>
      <c r="F210" s="1">
        <f t="shared" si="16"/>
        <v>0.53678581244721169</v>
      </c>
      <c r="G210" s="1">
        <f t="shared" si="17"/>
        <v>7.8444883303765034E-2</v>
      </c>
      <c r="H210" s="1">
        <f t="shared" si="16"/>
        <v>0.45834092914344665</v>
      </c>
    </row>
    <row r="211" spans="1:8" x14ac:dyDescent="0.35">
      <c r="A211" s="3">
        <f t="shared" si="14"/>
        <v>44009</v>
      </c>
      <c r="B211" s="1">
        <v>0.64157032000342518</v>
      </c>
      <c r="C211" s="1">
        <f t="shared" si="18"/>
        <v>7.5229202632550174E-2</v>
      </c>
      <c r="D211" s="1">
        <f t="shared" si="16"/>
        <v>0.566341117370875</v>
      </c>
      <c r="E211" s="1">
        <f t="shared" si="15"/>
        <v>3.1798681250657296E-2</v>
      </c>
      <c r="F211" s="1">
        <f t="shared" si="16"/>
        <v>0.53454243612021768</v>
      </c>
      <c r="G211" s="1">
        <f t="shared" si="17"/>
        <v>7.0402267341250921E-2</v>
      </c>
      <c r="H211" s="1">
        <f t="shared" si="16"/>
        <v>0.46414016877896674</v>
      </c>
    </row>
    <row r="212" spans="1:8" x14ac:dyDescent="0.35">
      <c r="A212" s="3">
        <f t="shared" si="14"/>
        <v>44010</v>
      </c>
      <c r="B212" s="1">
        <v>0.46208165397585726</v>
      </c>
      <c r="C212" s="1">
        <f t="shared" si="18"/>
        <v>-0.10317082861642519</v>
      </c>
      <c r="D212" s="1">
        <f t="shared" si="16"/>
        <v>0.46208165397585726</v>
      </c>
      <c r="E212" s="1">
        <f t="shared" si="15"/>
        <v>-7.4109245694105153E-2</v>
      </c>
      <c r="F212" s="1">
        <f t="shared" si="16"/>
        <v>0.46208165397585726</v>
      </c>
      <c r="G212" s="1">
        <f t="shared" si="17"/>
        <v>-4.6214055232897955E-3</v>
      </c>
      <c r="H212" s="1">
        <f t="shared" si="16"/>
        <v>0.46208165397585726</v>
      </c>
    </row>
    <row r="213" spans="1:8" x14ac:dyDescent="0.35">
      <c r="A213" s="3">
        <f t="shared" si="14"/>
        <v>44011</v>
      </c>
      <c r="B213" s="1">
        <v>0.47553987154404748</v>
      </c>
      <c r="C213" s="1">
        <f t="shared" si="18"/>
        <v>-8.2479482060810239E-2</v>
      </c>
      <c r="D213" s="1">
        <f t="shared" si="16"/>
        <v>0.47553987154404748</v>
      </c>
      <c r="E213" s="1">
        <f t="shared" si="15"/>
        <v>-6.611428246996981E-2</v>
      </c>
      <c r="F213" s="1">
        <f t="shared" si="16"/>
        <v>0.47553987154404748</v>
      </c>
      <c r="G213" s="1">
        <f t="shared" si="17"/>
        <v>8.6787343003400172E-3</v>
      </c>
      <c r="H213" s="1">
        <f t="shared" si="16"/>
        <v>0.46686113724370748</v>
      </c>
    </row>
    <row r="214" spans="1:8" x14ac:dyDescent="0.35">
      <c r="A214" s="3">
        <f t="shared" si="14"/>
        <v>44012</v>
      </c>
      <c r="B214" s="1">
        <v>0.54529270789622308</v>
      </c>
      <c r="C214" s="1">
        <f t="shared" si="18"/>
        <v>-9.1564159172804471E-3</v>
      </c>
      <c r="D214" s="1">
        <f t="shared" si="16"/>
        <v>0.54529270789622308</v>
      </c>
      <c r="E214" s="1">
        <f t="shared" si="15"/>
        <v>1.1057540745937448E-3</v>
      </c>
      <c r="F214" s="1">
        <f t="shared" si="16"/>
        <v>0.54418695382162929</v>
      </c>
      <c r="G214" s="1">
        <f t="shared" si="17"/>
        <v>7.4100645919987024E-2</v>
      </c>
      <c r="H214" s="1">
        <f t="shared" si="16"/>
        <v>0.4700863079016423</v>
      </c>
    </row>
    <row r="215" spans="1:8" x14ac:dyDescent="0.35">
      <c r="A215" s="3">
        <f t="shared" si="14"/>
        <v>44013</v>
      </c>
      <c r="B215" s="1">
        <v>0.52906422217022109</v>
      </c>
      <c r="C215" s="1">
        <f t="shared" si="18"/>
        <v>-2.4089602234761337E-2</v>
      </c>
      <c r="D215" s="1">
        <f t="shared" si="16"/>
        <v>0.52906422217022109</v>
      </c>
      <c r="E215" s="1">
        <f t="shared" si="15"/>
        <v>-1.5690987499116946E-2</v>
      </c>
      <c r="F215" s="1">
        <f t="shared" si="16"/>
        <v>0.52906422217022109</v>
      </c>
      <c r="G215" s="1">
        <f t="shared" si="17"/>
        <v>5.3987468261507597E-2</v>
      </c>
      <c r="H215" s="1">
        <f t="shared" si="16"/>
        <v>0.47507675390871351</v>
      </c>
    </row>
    <row r="216" spans="1:8" x14ac:dyDescent="0.35">
      <c r="A216" s="3">
        <f t="shared" si="14"/>
        <v>44014</v>
      </c>
      <c r="B216" s="1">
        <v>0.51093286049700237</v>
      </c>
      <c r="C216" s="1">
        <f t="shared" si="18"/>
        <v>-3.9734317677627251E-2</v>
      </c>
      <c r="D216" s="1">
        <f t="shared" si="16"/>
        <v>0.51093286049700237</v>
      </c>
      <c r="E216" s="1">
        <f t="shared" si="15"/>
        <v>-3.5829646604962115E-2</v>
      </c>
      <c r="F216" s="1">
        <f t="shared" si="16"/>
        <v>0.51093286049700237</v>
      </c>
      <c r="G216" s="1">
        <f t="shared" si="17"/>
        <v>3.2486972531421514E-2</v>
      </c>
      <c r="H216" s="1">
        <f t="shared" si="16"/>
        <v>0.47844588796558085</v>
      </c>
    </row>
    <row r="217" spans="1:8" x14ac:dyDescent="0.35">
      <c r="A217" s="3">
        <f t="shared" si="14"/>
        <v>44015</v>
      </c>
      <c r="B217" s="1">
        <v>0.50941438255292459</v>
      </c>
      <c r="C217" s="1">
        <f t="shared" si="18"/>
        <v>-3.8215778872980069E-2</v>
      </c>
      <c r="D217" s="1">
        <f t="shared" si="16"/>
        <v>0.50941438255292459</v>
      </c>
      <c r="E217" s="1">
        <f t="shared" si="15"/>
        <v>-4.0314790947175105E-2</v>
      </c>
      <c r="F217" s="1">
        <f t="shared" si="16"/>
        <v>0.50941438255292459</v>
      </c>
      <c r="G217" s="1">
        <f t="shared" si="17"/>
        <v>2.8588914570390041E-2</v>
      </c>
      <c r="H217" s="1">
        <f t="shared" si="16"/>
        <v>0.48082546798253456</v>
      </c>
    </row>
    <row r="218" spans="1:8" x14ac:dyDescent="0.35">
      <c r="A218" s="3">
        <f t="shared" si="14"/>
        <v>44016</v>
      </c>
      <c r="B218" s="1">
        <v>0.47058411604302103</v>
      </c>
      <c r="C218" s="1">
        <f t="shared" si="18"/>
        <v>-7.2723726973288744E-2</v>
      </c>
      <c r="D218" s="1">
        <f t="shared" si="16"/>
        <v>0.47058411604302103</v>
      </c>
      <c r="E218" s="1">
        <f t="shared" si="15"/>
        <v>-8.3988024284278151E-2</v>
      </c>
      <c r="F218" s="1">
        <f t="shared" si="16"/>
        <v>0.47058411604302103</v>
      </c>
      <c r="G218" s="1">
        <f t="shared" si="17"/>
        <v>-1.0929385538171396E-2</v>
      </c>
      <c r="H218" s="1">
        <f t="shared" si="16"/>
        <v>0.47058411604302103</v>
      </c>
    </row>
    <row r="219" spans="1:8" x14ac:dyDescent="0.35">
      <c r="A219" s="3">
        <f t="shared" si="14"/>
        <v>44017</v>
      </c>
      <c r="B219" s="1">
        <v>0.46733722419066659</v>
      </c>
      <c r="C219" s="1">
        <f t="shared" si="18"/>
        <v>-7.0394580858183245E-2</v>
      </c>
      <c r="D219" s="1">
        <f t="shared" si="16"/>
        <v>0.46733722419066659</v>
      </c>
      <c r="E219" s="1">
        <f t="shared" si="15"/>
        <v>-9.4176386694237085E-2</v>
      </c>
      <c r="F219" s="1">
        <f t="shared" si="16"/>
        <v>0.46733722419066659</v>
      </c>
      <c r="G219" s="1">
        <f t="shared" si="17"/>
        <v>-1.323481503069969E-2</v>
      </c>
      <c r="H219" s="1">
        <f t="shared" si="16"/>
        <v>0.46733722419066659</v>
      </c>
    </row>
    <row r="220" spans="1:8" x14ac:dyDescent="0.35">
      <c r="A220" s="3">
        <f t="shared" si="14"/>
        <v>44018</v>
      </c>
      <c r="B220" s="1">
        <v>0.48774175974956813</v>
      </c>
      <c r="C220" s="1">
        <f t="shared" si="18"/>
        <v>-4.5475621818376777E-2</v>
      </c>
      <c r="D220" s="1">
        <f t="shared" si="16"/>
        <v>0.48774175974956813</v>
      </c>
      <c r="E220" s="1">
        <f t="shared" si="15"/>
        <v>-8.058056347977767E-2</v>
      </c>
      <c r="F220" s="1">
        <f t="shared" si="16"/>
        <v>0.48774175974956813</v>
      </c>
      <c r="G220" s="1">
        <f t="shared" si="17"/>
        <v>7.3971615720455162E-3</v>
      </c>
      <c r="H220" s="1">
        <f t="shared" si="16"/>
        <v>0.48034459817752262</v>
      </c>
    </row>
    <row r="221" spans="1:8" x14ac:dyDescent="0.35">
      <c r="A221" s="3">
        <f t="shared" si="14"/>
        <v>44019</v>
      </c>
      <c r="B221" s="1">
        <v>0.57408733492450292</v>
      </c>
      <c r="C221" s="1">
        <f t="shared" si="18"/>
        <v>4.1042665923876231E-2</v>
      </c>
      <c r="D221" s="1">
        <f t="shared" si="16"/>
        <v>0.53304466900062675</v>
      </c>
      <c r="E221" s="1">
        <f t="shared" si="15"/>
        <v>-3.9974609000685127E-2</v>
      </c>
      <c r="F221" s="1">
        <f t="shared" si="16"/>
        <v>0.53304466900062675</v>
      </c>
      <c r="G221" s="1">
        <f t="shared" si="17"/>
        <v>5.0446424608286029E-2</v>
      </c>
      <c r="H221" s="1">
        <f t="shared" si="16"/>
        <v>0.48259824439234073</v>
      </c>
    </row>
    <row r="222" spans="1:8" x14ac:dyDescent="0.35">
      <c r="A222" s="3">
        <f t="shared" si="14"/>
        <v>44020</v>
      </c>
      <c r="B222" s="1">
        <v>0.61010114000629001</v>
      </c>
      <c r="C222" s="1">
        <f t="shared" si="18"/>
        <v>7.2627753370805584E-2</v>
      </c>
      <c r="D222" s="1">
        <f t="shared" si="16"/>
        <v>0.53747338663548438</v>
      </c>
      <c r="E222" s="1">
        <f t="shared" si="15"/>
        <v>-3.8607533272578001E-2</v>
      </c>
      <c r="F222" s="1">
        <f t="shared" si="16"/>
        <v>0.53747338663548438</v>
      </c>
      <c r="G222" s="1">
        <f t="shared" si="17"/>
        <v>5.0925583486215051E-2</v>
      </c>
      <c r="H222" s="1">
        <f t="shared" si="16"/>
        <v>0.48654780314926932</v>
      </c>
    </row>
    <row r="223" spans="1:8" x14ac:dyDescent="0.35">
      <c r="A223" s="3">
        <f t="shared" si="14"/>
        <v>44021</v>
      </c>
      <c r="B223" s="1">
        <v>0.86852241162162569</v>
      </c>
      <c r="C223" s="1">
        <f t="shared" si="18"/>
        <v>0.31591114579775581</v>
      </c>
      <c r="D223" s="1">
        <f t="shared" si="16"/>
        <v>0.55261126582386988</v>
      </c>
      <c r="E223" s="1">
        <f t="shared" si="15"/>
        <v>-2.5986296814872391E-2</v>
      </c>
      <c r="F223" s="1">
        <f t="shared" si="16"/>
        <v>0.55261126582386988</v>
      </c>
      <c r="G223" s="1">
        <f t="shared" si="17"/>
        <v>6.1676373443569965E-2</v>
      </c>
      <c r="H223" s="1">
        <f t="shared" si="16"/>
        <v>0.49093489238029991</v>
      </c>
    </row>
    <row r="224" spans="1:8" x14ac:dyDescent="0.35">
      <c r="A224" s="3">
        <f t="shared" si="14"/>
        <v>44022</v>
      </c>
      <c r="B224" s="1">
        <v>2.0097938767658596</v>
      </c>
      <c r="C224" s="1">
        <f t="shared" si="18"/>
        <v>1.3906915950642493</v>
      </c>
      <c r="D224" s="1">
        <f t="shared" si="16"/>
        <v>0.6191022817016103</v>
      </c>
      <c r="E224" s="1">
        <f t="shared" si="15"/>
        <v>4.1093303748597591E-2</v>
      </c>
      <c r="F224" s="1">
        <f t="shared" si="16"/>
        <v>0.57800897795301276</v>
      </c>
      <c r="G224" s="1">
        <f t="shared" si="17"/>
        <v>8.1495943359602252E-2</v>
      </c>
      <c r="H224" s="1">
        <f t="shared" si="16"/>
        <v>0.49651303459341051</v>
      </c>
    </row>
    <row r="225" spans="1:8" x14ac:dyDescent="0.35">
      <c r="A225" s="3">
        <f t="shared" si="14"/>
        <v>44023</v>
      </c>
      <c r="B225" s="1">
        <v>0.93174270761285183</v>
      </c>
      <c r="C225" s="1">
        <f t="shared" si="18"/>
        <v>0.24876547512466063</v>
      </c>
      <c r="D225" s="1">
        <f t="shared" si="16"/>
        <v>0.6829772324881912</v>
      </c>
      <c r="E225" s="1">
        <f t="shared" si="15"/>
        <v>0.11088966906019644</v>
      </c>
      <c r="F225" s="1">
        <f t="shared" si="16"/>
        <v>0.57208756342799472</v>
      </c>
      <c r="G225" s="1">
        <f t="shared" si="17"/>
        <v>6.9684386127302211E-2</v>
      </c>
      <c r="H225" s="1">
        <f t="shared" si="16"/>
        <v>0.50240317730069251</v>
      </c>
    </row>
    <row r="226" spans="1:8" x14ac:dyDescent="0.35">
      <c r="A226" s="3">
        <f t="shared" si="14"/>
        <v>44024</v>
      </c>
      <c r="B226" s="1">
        <v>0.66526323037684587</v>
      </c>
      <c r="C226" s="1">
        <f t="shared" si="18"/>
        <v>-2.6378432349344644E-2</v>
      </c>
      <c r="D226" s="1">
        <f t="shared" si="16"/>
        <v>0.66526323037684587</v>
      </c>
      <c r="E226" s="1">
        <f t="shared" si="15"/>
        <v>0.10144858597624493</v>
      </c>
      <c r="F226" s="1">
        <f t="shared" si="16"/>
        <v>0.56381464440060092</v>
      </c>
      <c r="G226" s="1">
        <f t="shared" si="17"/>
        <v>5.6495372603888011E-2</v>
      </c>
      <c r="H226" s="1">
        <f t="shared" si="16"/>
        <v>0.50731927179671288</v>
      </c>
    </row>
    <row r="227" spans="1:8" x14ac:dyDescent="0.35">
      <c r="A227" s="3">
        <f t="shared" ref="A227:A290" si="19">A226+1</f>
        <v>44025</v>
      </c>
      <c r="B227" s="1">
        <v>0.56945466170315118</v>
      </c>
      <c r="C227" s="1">
        <f t="shared" si="18"/>
        <v>-0.11661579727157495</v>
      </c>
      <c r="D227" s="1">
        <f t="shared" si="16"/>
        <v>0.56945466170315118</v>
      </c>
      <c r="E227" s="1">
        <f t="shared" si="15"/>
        <v>9.9814471652040805E-3</v>
      </c>
      <c r="F227" s="1">
        <f t="shared" si="16"/>
        <v>0.55947321453794707</v>
      </c>
      <c r="G227" s="1">
        <f t="shared" si="17"/>
        <v>4.8079593415792092E-2</v>
      </c>
      <c r="H227" s="1">
        <f t="shared" si="16"/>
        <v>0.51139362112215503</v>
      </c>
    </row>
    <row r="228" spans="1:8" x14ac:dyDescent="0.35">
      <c r="A228" s="3">
        <f t="shared" si="19"/>
        <v>44026</v>
      </c>
      <c r="B228" s="1">
        <v>0.54264755313976887</v>
      </c>
      <c r="C228" s="1">
        <f t="shared" si="18"/>
        <v>-0.13367145446846229</v>
      </c>
      <c r="D228" s="1">
        <f t="shared" si="16"/>
        <v>0.54264755313976887</v>
      </c>
      <c r="E228" s="1">
        <f t="shared" si="15"/>
        <v>-1.7103129542758264E-2</v>
      </c>
      <c r="F228" s="1">
        <f t="shared" si="16"/>
        <v>0.54264755313976887</v>
      </c>
      <c r="G228" s="1">
        <f t="shared" si="17"/>
        <v>2.8278924813861163E-2</v>
      </c>
      <c r="H228" s="1">
        <f t="shared" si="16"/>
        <v>0.51436862832590768</v>
      </c>
    </row>
    <row r="229" spans="1:8" x14ac:dyDescent="0.35">
      <c r="A229" s="3">
        <f t="shared" si="19"/>
        <v>44027</v>
      </c>
      <c r="B229" s="1">
        <v>1.1672449577906416</v>
      </c>
      <c r="C229" s="1">
        <f t="shared" si="18"/>
        <v>0.4775289065931374</v>
      </c>
      <c r="D229" s="1">
        <f t="shared" si="16"/>
        <v>0.68971605119750423</v>
      </c>
      <c r="E229" s="1">
        <f t="shared" si="15"/>
        <v>0.1345408646895265</v>
      </c>
      <c r="F229" s="1">
        <f t="shared" si="16"/>
        <v>0.5551751865079777</v>
      </c>
      <c r="G229" s="1">
        <f t="shared" si="17"/>
        <v>3.8215852569722583E-2</v>
      </c>
      <c r="H229" s="1">
        <f t="shared" si="16"/>
        <v>0.51695933393825511</v>
      </c>
    </row>
    <row r="230" spans="1:8" x14ac:dyDescent="0.35">
      <c r="A230" s="3">
        <f t="shared" si="19"/>
        <v>44028</v>
      </c>
      <c r="B230" s="1">
        <v>1.7799801917795388</v>
      </c>
      <c r="C230" s="1">
        <f t="shared" si="18"/>
        <v>1.0314719013129656</v>
      </c>
      <c r="D230" s="1">
        <f t="shared" si="16"/>
        <v>0.74850829046657319</v>
      </c>
      <c r="E230" s="1">
        <f t="shared" si="15"/>
        <v>0.20662529187676254</v>
      </c>
      <c r="F230" s="1">
        <f t="shared" si="16"/>
        <v>0.54188299858981059</v>
      </c>
      <c r="G230" s="1">
        <f t="shared" si="17"/>
        <v>2.2555932755757548E-2</v>
      </c>
      <c r="H230" s="1">
        <f t="shared" si="16"/>
        <v>0.51932706583405308</v>
      </c>
    </row>
    <row r="231" spans="1:8" x14ac:dyDescent="0.35">
      <c r="A231" s="3">
        <f t="shared" si="19"/>
        <v>44029</v>
      </c>
      <c r="B231" s="1">
        <v>0.9902393008591831</v>
      </c>
      <c r="C231" s="1">
        <f t="shared" si="18"/>
        <v>0.19398590120365089</v>
      </c>
      <c r="D231" s="1">
        <f t="shared" si="16"/>
        <v>0.79625339965553221</v>
      </c>
      <c r="E231" s="1">
        <f t="shared" si="15"/>
        <v>0.27305941564447089</v>
      </c>
      <c r="F231" s="1">
        <f t="shared" si="16"/>
        <v>0.52319398401106132</v>
      </c>
      <c r="G231" s="1">
        <f t="shared" si="17"/>
        <v>2.8760612670295574E-3</v>
      </c>
      <c r="H231" s="1">
        <f t="shared" si="16"/>
        <v>0.52031792274403177</v>
      </c>
    </row>
    <row r="232" spans="1:8" x14ac:dyDescent="0.35">
      <c r="A232" s="3">
        <f t="shared" si="19"/>
        <v>44030</v>
      </c>
      <c r="B232" s="1">
        <v>0.78705037153942736</v>
      </c>
      <c r="C232" s="1">
        <f t="shared" si="18"/>
        <v>-1.6132385856887838E-2</v>
      </c>
      <c r="D232" s="1">
        <f t="shared" si="16"/>
        <v>0.78705037153942736</v>
      </c>
      <c r="E232" s="1">
        <f t="shared" si="15"/>
        <v>0.28562324441375136</v>
      </c>
      <c r="F232" s="1">
        <f t="shared" si="16"/>
        <v>0.50142712712567605</v>
      </c>
      <c r="G232" s="1">
        <f t="shared" si="17"/>
        <v>-1.8290243080180978E-2</v>
      </c>
      <c r="H232" s="1">
        <f t="shared" si="16"/>
        <v>0.50142712712567605</v>
      </c>
    </row>
    <row r="233" spans="1:8" x14ac:dyDescent="0.35">
      <c r="A233" s="3">
        <f t="shared" si="19"/>
        <v>44031</v>
      </c>
      <c r="B233" s="1">
        <v>0.69521549566259822</v>
      </c>
      <c r="C233" s="1">
        <f t="shared" si="18"/>
        <v>-0.10331352494906931</v>
      </c>
      <c r="D233" s="1">
        <f t="shared" si="16"/>
        <v>0.69521549566259822</v>
      </c>
      <c r="E233" s="1">
        <f t="shared" si="15"/>
        <v>0.21322397446735492</v>
      </c>
      <c r="F233" s="1">
        <f t="shared" si="16"/>
        <v>0.4819915211952433</v>
      </c>
      <c r="G233" s="1">
        <f t="shared" si="17"/>
        <v>-3.5625245557208932E-2</v>
      </c>
      <c r="H233" s="1">
        <f t="shared" si="16"/>
        <v>0.4819915211952433</v>
      </c>
    </row>
    <row r="234" spans="1:8" x14ac:dyDescent="0.35">
      <c r="A234" s="3">
        <f t="shared" si="19"/>
        <v>44032</v>
      </c>
      <c r="B234" s="1">
        <v>0.60852282114502876</v>
      </c>
      <c r="C234" s="1">
        <f t="shared" si="18"/>
        <v>-0.17900670980104971</v>
      </c>
      <c r="D234" s="1">
        <f t="shared" si="16"/>
        <v>0.60852282114502876</v>
      </c>
      <c r="E234" s="1">
        <f t="shared" si="15"/>
        <v>0.14030516242615601</v>
      </c>
      <c r="F234" s="1">
        <f t="shared" si="16"/>
        <v>0.46821765871887278</v>
      </c>
      <c r="G234" s="1">
        <f t="shared" si="17"/>
        <v>-4.6210694773924893E-2</v>
      </c>
      <c r="H234" s="1">
        <f t="shared" si="16"/>
        <v>0.46821765871887278</v>
      </c>
    </row>
    <row r="235" spans="1:8" x14ac:dyDescent="0.35">
      <c r="A235" s="3">
        <f t="shared" si="19"/>
        <v>44033</v>
      </c>
      <c r="B235" s="1">
        <v>0.55196291657028629</v>
      </c>
      <c r="C235" s="1">
        <f t="shared" si="18"/>
        <v>-0.22002011471916064</v>
      </c>
      <c r="D235" s="1">
        <f t="shared" si="16"/>
        <v>0.55196291657028629</v>
      </c>
      <c r="E235" s="1">
        <f t="shared" si="15"/>
        <v>9.2828382997801495E-2</v>
      </c>
      <c r="F235" s="1">
        <f t="shared" si="16"/>
        <v>0.45913453357248479</v>
      </c>
      <c r="G235" s="1">
        <f t="shared" si="17"/>
        <v>-5.1487400619278964E-2</v>
      </c>
      <c r="H235" s="1">
        <f t="shared" si="16"/>
        <v>0.45913453357248479</v>
      </c>
    </row>
    <row r="236" spans="1:8" x14ac:dyDescent="0.35">
      <c r="A236" s="3">
        <f t="shared" si="19"/>
        <v>44034</v>
      </c>
      <c r="B236" s="1">
        <v>0.53574072076010826</v>
      </c>
      <c r="C236" s="1">
        <f t="shared" si="18"/>
        <v>-0.21913246958251995</v>
      </c>
      <c r="D236" s="1">
        <f t="shared" si="16"/>
        <v>0.53574072076010826</v>
      </c>
      <c r="E236" s="1">
        <f t="shared" si="15"/>
        <v>8.3475156249194743E-2</v>
      </c>
      <c r="F236" s="1">
        <f t="shared" si="16"/>
        <v>0.45226556451091349</v>
      </c>
      <c r="G236" s="1">
        <f t="shared" si="17"/>
        <v>-5.423722829459543E-2</v>
      </c>
      <c r="H236" s="1">
        <f t="shared" si="16"/>
        <v>0.45226556451091349</v>
      </c>
    </row>
    <row r="237" spans="1:8" x14ac:dyDescent="0.35">
      <c r="A237" s="3">
        <f t="shared" si="19"/>
        <v>44035</v>
      </c>
      <c r="B237" s="1">
        <v>0.49023961319616643</v>
      </c>
      <c r="C237" s="1">
        <f t="shared" si="18"/>
        <v>-0.24649235039412495</v>
      </c>
      <c r="D237" s="1">
        <f t="shared" si="16"/>
        <v>0.49023961319616643</v>
      </c>
      <c r="E237" s="1">
        <f t="shared" si="15"/>
        <v>4.2897665101514319E-2</v>
      </c>
      <c r="F237" s="1">
        <f t="shared" si="16"/>
        <v>0.44734194809465211</v>
      </c>
      <c r="G237" s="1">
        <f t="shared" si="17"/>
        <v>-5.4908416973152352E-2</v>
      </c>
      <c r="H237" s="1">
        <f t="shared" si="16"/>
        <v>0.44734194809465211</v>
      </c>
    </row>
    <row r="238" spans="1:8" x14ac:dyDescent="0.35">
      <c r="A238" s="3">
        <f t="shared" si="19"/>
        <v>44036</v>
      </c>
      <c r="B238" s="1">
        <v>0.46105264120186251</v>
      </c>
      <c r="C238" s="1">
        <f t="shared" si="18"/>
        <v>-0.25609788465908312</v>
      </c>
      <c r="D238" s="1">
        <f t="shared" si="16"/>
        <v>0.46105264120186251</v>
      </c>
      <c r="E238" s="1">
        <f t="shared" si="15"/>
        <v>1.6005626548104637E-2</v>
      </c>
      <c r="F238" s="1">
        <f t="shared" si="16"/>
        <v>0.4450470146537579</v>
      </c>
      <c r="G238" s="1">
        <f t="shared" si="17"/>
        <v>-5.2999159137026602E-2</v>
      </c>
      <c r="H238" s="1">
        <f t="shared" si="16"/>
        <v>0.4450470146537579</v>
      </c>
    </row>
    <row r="239" spans="1:8" x14ac:dyDescent="0.35">
      <c r="A239" s="3">
        <f t="shared" si="19"/>
        <v>44037</v>
      </c>
      <c r="B239" s="1">
        <v>0.4451062300734574</v>
      </c>
      <c r="C239" s="1">
        <f t="shared" si="18"/>
        <v>-0.25223896402074181</v>
      </c>
      <c r="D239" s="1">
        <f t="shared" si="16"/>
        <v>0.4451062300734574</v>
      </c>
      <c r="E239" s="1">
        <f t="shared" si="15"/>
        <v>7.1049279677266181E-4</v>
      </c>
      <c r="F239" s="1">
        <f t="shared" si="16"/>
        <v>0.44439573727668474</v>
      </c>
      <c r="G239" s="1">
        <f t="shared" si="17"/>
        <v>-4.9651076677182521E-2</v>
      </c>
      <c r="H239" s="1">
        <f t="shared" si="16"/>
        <v>0.44439573727668474</v>
      </c>
    </row>
    <row r="240" spans="1:8" x14ac:dyDescent="0.35">
      <c r="A240" s="3">
        <f t="shared" si="19"/>
        <v>44038</v>
      </c>
      <c r="B240" s="1">
        <v>0.48876563239361981</v>
      </c>
      <c r="C240" s="1">
        <f t="shared" si="18"/>
        <v>-0.19129886698602988</v>
      </c>
      <c r="D240" s="1">
        <f t="shared" si="16"/>
        <v>0.48876563239361981</v>
      </c>
      <c r="E240" s="1">
        <f t="shared" si="15"/>
        <v>4.6197478410734037E-2</v>
      </c>
      <c r="F240" s="1">
        <f t="shared" si="16"/>
        <v>0.44256815398288579</v>
      </c>
      <c r="G240" s="1">
        <f t="shared" si="17"/>
        <v>-4.7686294846675324E-2</v>
      </c>
      <c r="H240" s="1">
        <f t="shared" si="16"/>
        <v>0.44256815398288579</v>
      </c>
    </row>
    <row r="241" spans="1:8" x14ac:dyDescent="0.35">
      <c r="A241" s="3">
        <f t="shared" si="19"/>
        <v>44039</v>
      </c>
      <c r="B241" s="1">
        <v>0.47330776337120262</v>
      </c>
      <c r="C241" s="1">
        <f t="shared" si="18"/>
        <v>-0.1918296508961542</v>
      </c>
      <c r="D241" s="1">
        <f t="shared" si="16"/>
        <v>0.47330776337120262</v>
      </c>
      <c r="E241" s="1">
        <f t="shared" si="15"/>
        <v>3.3858680515305391E-2</v>
      </c>
      <c r="F241" s="1">
        <f t="shared" si="16"/>
        <v>0.43944908285589723</v>
      </c>
      <c r="G241" s="1">
        <f t="shared" si="17"/>
        <v>-4.7111928692901164E-2</v>
      </c>
      <c r="H241" s="1">
        <f t="shared" si="16"/>
        <v>0.43944908285589723</v>
      </c>
    </row>
    <row r="242" spans="1:8" x14ac:dyDescent="0.35">
      <c r="A242" s="3">
        <f t="shared" si="19"/>
        <v>44040</v>
      </c>
      <c r="B242" s="1">
        <v>0.4469664676166501</v>
      </c>
      <c r="C242" s="1">
        <f t="shared" si="18"/>
        <v>-0.20279592424269943</v>
      </c>
      <c r="D242" s="1">
        <f t="shared" si="16"/>
        <v>0.4469664676166501</v>
      </c>
      <c r="E242" s="1">
        <f t="shared" si="15"/>
        <v>9.194792812484965E-3</v>
      </c>
      <c r="F242" s="1">
        <f t="shared" si="16"/>
        <v>0.43777167480416512</v>
      </c>
      <c r="G242" s="1">
        <f t="shared" si="17"/>
        <v>-4.5193039290725733E-2</v>
      </c>
      <c r="H242" s="1">
        <f t="shared" si="16"/>
        <v>0.43777167480416512</v>
      </c>
    </row>
    <row r="243" spans="1:8" x14ac:dyDescent="0.35">
      <c r="A243" s="3">
        <f t="shared" si="19"/>
        <v>44041</v>
      </c>
      <c r="B243" s="1">
        <v>0.44293574880517822</v>
      </c>
      <c r="C243" s="1">
        <f t="shared" si="18"/>
        <v>-0.19146579678053866</v>
      </c>
      <c r="D243" s="1">
        <f t="shared" si="16"/>
        <v>0.44293574880517822</v>
      </c>
      <c r="E243" s="1">
        <f t="shared" si="15"/>
        <v>5.746190223181926E-3</v>
      </c>
      <c r="F243" s="1">
        <f t="shared" si="16"/>
        <v>0.43718955858199632</v>
      </c>
      <c r="G243" s="1">
        <f t="shared" si="17"/>
        <v>-4.2363848207758778E-2</v>
      </c>
      <c r="H243" s="1">
        <f t="shared" si="16"/>
        <v>0.43718955858199632</v>
      </c>
    </row>
    <row r="244" spans="1:8" x14ac:dyDescent="0.35">
      <c r="A244" s="3">
        <f t="shared" si="19"/>
        <v>44042</v>
      </c>
      <c r="B244" s="1">
        <v>0.42146945009695663</v>
      </c>
      <c r="C244" s="1">
        <f t="shared" si="18"/>
        <v>-0.19776717452866155</v>
      </c>
      <c r="D244" s="1">
        <f t="shared" si="16"/>
        <v>0.42146945009695663</v>
      </c>
      <c r="E244" s="1">
        <f t="shared" si="15"/>
        <v>-1.6124456522682542E-2</v>
      </c>
      <c r="F244" s="1">
        <f t="shared" si="16"/>
        <v>0.42146945009695663</v>
      </c>
      <c r="G244" s="1">
        <f t="shared" si="17"/>
        <v>-5.4317164009027571E-2</v>
      </c>
      <c r="H244" s="1">
        <f t="shared" si="16"/>
        <v>0.42146945009695663</v>
      </c>
    </row>
    <row r="245" spans="1:8" x14ac:dyDescent="0.35">
      <c r="A245" s="3">
        <f t="shared" si="19"/>
        <v>44043</v>
      </c>
      <c r="B245" s="1">
        <v>0.42500181539521864</v>
      </c>
      <c r="C245" s="1">
        <f t="shared" si="18"/>
        <v>-0.17953473483943477</v>
      </c>
      <c r="D245" s="1">
        <f t="shared" si="16"/>
        <v>0.42500181539521864</v>
      </c>
      <c r="E245" s="1">
        <f t="shared" si="15"/>
        <v>-1.3756275592546335E-2</v>
      </c>
      <c r="F245" s="1">
        <f t="shared" si="16"/>
        <v>0.42500181539521864</v>
      </c>
      <c r="G245" s="1">
        <f t="shared" si="17"/>
        <v>-4.6843475108773319E-2</v>
      </c>
      <c r="H245" s="1">
        <f t="shared" si="16"/>
        <v>0.42500181539521864</v>
      </c>
    </row>
    <row r="246" spans="1:8" x14ac:dyDescent="0.35">
      <c r="A246" s="3">
        <f t="shared" si="19"/>
        <v>44044</v>
      </c>
      <c r="B246" s="1">
        <v>0.40892750687957752</v>
      </c>
      <c r="C246" s="1">
        <f t="shared" si="18"/>
        <v>-0.18154115167278176</v>
      </c>
      <c r="D246" s="1">
        <f t="shared" si="16"/>
        <v>0.40892750687957752</v>
      </c>
      <c r="E246" s="1">
        <f t="shared" si="15"/>
        <v>-3.1597618960919907E-2</v>
      </c>
      <c r="F246" s="1">
        <f t="shared" si="16"/>
        <v>0.40892750687957752</v>
      </c>
      <c r="G246" s="1">
        <f t="shared" si="17"/>
        <v>-5.8801736421919902E-2</v>
      </c>
      <c r="H246" s="1">
        <f t="shared" si="16"/>
        <v>0.40892750687957752</v>
      </c>
    </row>
    <row r="247" spans="1:8" x14ac:dyDescent="0.35">
      <c r="A247" s="3">
        <f t="shared" si="19"/>
        <v>44045</v>
      </c>
      <c r="B247" s="1">
        <v>0.53237811187128314</v>
      </c>
      <c r="C247" s="1">
        <f t="shared" si="18"/>
        <v>-4.9104357992806463E-2</v>
      </c>
      <c r="D247" s="1">
        <f t="shared" si="16"/>
        <v>0.53237811187128314</v>
      </c>
      <c r="E247" s="1">
        <f t="shared" si="15"/>
        <v>9.4295771182266772E-2</v>
      </c>
      <c r="F247" s="1">
        <f t="shared" si="16"/>
        <v>0.43808234068901636</v>
      </c>
      <c r="G247" s="1">
        <f t="shared" si="17"/>
        <v>-2.6330078648691031E-2</v>
      </c>
      <c r="H247" s="1">
        <f t="shared" si="16"/>
        <v>0.43808234068901636</v>
      </c>
    </row>
    <row r="248" spans="1:8" x14ac:dyDescent="0.35">
      <c r="A248" s="3">
        <f t="shared" si="19"/>
        <v>44046</v>
      </c>
      <c r="B248" s="1">
        <v>0.55549209301112124</v>
      </c>
      <c r="C248" s="1">
        <f t="shared" si="18"/>
        <v>-2.3174324296251818E-2</v>
      </c>
      <c r="D248" s="1">
        <f t="shared" si="16"/>
        <v>0.55549209301112124</v>
      </c>
      <c r="E248" s="1">
        <f t="shared" si="15"/>
        <v>0.12599240868039019</v>
      </c>
      <c r="F248" s="1">
        <f t="shared" si="16"/>
        <v>0.42949968433073105</v>
      </c>
      <c r="G248" s="1">
        <f t="shared" si="17"/>
        <v>-3.2616129494888818E-2</v>
      </c>
      <c r="H248" s="1">
        <f t="shared" si="16"/>
        <v>0.42949968433073105</v>
      </c>
    </row>
    <row r="249" spans="1:8" x14ac:dyDescent="0.35">
      <c r="A249" s="3">
        <f t="shared" si="19"/>
        <v>44047</v>
      </c>
      <c r="B249" s="1">
        <v>0.45632565226302901</v>
      </c>
      <c r="C249" s="1">
        <f t="shared" si="18"/>
        <v>-0.11688394919407169</v>
      </c>
      <c r="D249" s="1">
        <f t="shared" si="16"/>
        <v>0.45632565226302901</v>
      </c>
      <c r="E249" s="1">
        <f t="shared" si="15"/>
        <v>3.3021307524704238E-2</v>
      </c>
      <c r="F249" s="1">
        <f t="shared" si="16"/>
        <v>0.42330434473832479</v>
      </c>
      <c r="G249" s="1">
        <f t="shared" si="17"/>
        <v>-3.6132934140463181E-2</v>
      </c>
      <c r="H249" s="1">
        <f t="shared" si="16"/>
        <v>0.42330434473832479</v>
      </c>
    </row>
    <row r="250" spans="1:8" x14ac:dyDescent="0.35">
      <c r="A250" s="3">
        <f t="shared" si="19"/>
        <v>44048</v>
      </c>
      <c r="B250" s="1">
        <v>0.44277731496653416</v>
      </c>
      <c r="C250" s="1">
        <f t="shared" si="18"/>
        <v>-0.12115792765239261</v>
      </c>
      <c r="D250" s="1">
        <f t="shared" si="16"/>
        <v>0.44277731496653416</v>
      </c>
      <c r="E250" s="1">
        <f t="shared" si="15"/>
        <v>2.1601116623597778E-2</v>
      </c>
      <c r="F250" s="1">
        <f t="shared" si="16"/>
        <v>0.4211761983429364</v>
      </c>
      <c r="G250" s="1">
        <f t="shared" si="17"/>
        <v>-3.5471304985489768E-2</v>
      </c>
      <c r="H250" s="1">
        <f t="shared" si="16"/>
        <v>0.4211761983429364</v>
      </c>
    </row>
    <row r="251" spans="1:8" x14ac:dyDescent="0.35">
      <c r="A251" s="3">
        <f t="shared" si="19"/>
        <v>44049</v>
      </c>
      <c r="B251" s="1">
        <v>0.41366319943217356</v>
      </c>
      <c r="C251" s="1">
        <f t="shared" si="18"/>
        <v>-0.14009341928028526</v>
      </c>
      <c r="D251" s="1">
        <f t="shared" si="16"/>
        <v>0.41366319943217356</v>
      </c>
      <c r="E251" s="1">
        <f t="shared" si="15"/>
        <v>-6.9418590034857376E-3</v>
      </c>
      <c r="F251" s="1">
        <f t="shared" si="16"/>
        <v>0.41366319943217356</v>
      </c>
      <c r="G251" s="1">
        <f t="shared" si="17"/>
        <v>-4.0042218563187279E-2</v>
      </c>
      <c r="H251" s="1">
        <f t="shared" si="16"/>
        <v>0.41366319943217356</v>
      </c>
    </row>
    <row r="252" spans="1:8" x14ac:dyDescent="0.35">
      <c r="A252" s="3">
        <f t="shared" si="19"/>
        <v>44050</v>
      </c>
      <c r="B252" s="1">
        <v>0.41553458307866326</v>
      </c>
      <c r="C252" s="1">
        <f t="shared" si="18"/>
        <v>-0.12778520607451752</v>
      </c>
      <c r="D252" s="1">
        <f t="shared" si="16"/>
        <v>0.41553458307866326</v>
      </c>
      <c r="E252" s="1">
        <f t="shared" si="15"/>
        <v>-5.5574618851236771E-3</v>
      </c>
      <c r="F252" s="1">
        <f t="shared" si="16"/>
        <v>0.41553458307866326</v>
      </c>
      <c r="G252" s="1">
        <f t="shared" si="17"/>
        <v>-3.5237845411201903E-2</v>
      </c>
      <c r="H252" s="1">
        <f t="shared" si="16"/>
        <v>0.41553458307866326</v>
      </c>
    </row>
    <row r="253" spans="1:8" x14ac:dyDescent="0.35">
      <c r="A253" s="3">
        <f t="shared" si="19"/>
        <v>44051</v>
      </c>
      <c r="B253" s="1">
        <v>0.41168757125431044</v>
      </c>
      <c r="C253" s="1">
        <f t="shared" si="18"/>
        <v>-0.12190406449986829</v>
      </c>
      <c r="D253" s="1">
        <f t="shared" si="16"/>
        <v>0.41168757125431044</v>
      </c>
      <c r="E253" s="1">
        <f t="shared" si="15"/>
        <v>-1.0011038666014341E-2</v>
      </c>
      <c r="F253" s="1">
        <f t="shared" si="16"/>
        <v>0.41168757125431044</v>
      </c>
      <c r="G253" s="1">
        <f t="shared" si="17"/>
        <v>-3.6297755886301353E-2</v>
      </c>
      <c r="H253" s="1">
        <f t="shared" si="16"/>
        <v>0.41168757125431044</v>
      </c>
    </row>
    <row r="254" spans="1:8" x14ac:dyDescent="0.35">
      <c r="A254" s="3">
        <f t="shared" si="19"/>
        <v>44052</v>
      </c>
      <c r="B254" s="1">
        <v>0.53197825430486612</v>
      </c>
      <c r="C254" s="1">
        <f t="shared" si="18"/>
        <v>3.0185227737816733E-3</v>
      </c>
      <c r="D254" s="1">
        <f t="shared" si="16"/>
        <v>0.52895973153108444</v>
      </c>
      <c r="E254" s="1">
        <f t="shared" si="15"/>
        <v>0.11120369254095204</v>
      </c>
      <c r="F254" s="1">
        <f t="shared" si="16"/>
        <v>0.41775603899013242</v>
      </c>
      <c r="G254" s="1">
        <f t="shared" si="17"/>
        <v>-2.7734523999100091E-2</v>
      </c>
      <c r="H254" s="1">
        <f t="shared" si="16"/>
        <v>0.41775603899013242</v>
      </c>
    </row>
    <row r="255" spans="1:8" x14ac:dyDescent="0.35">
      <c r="A255" s="3">
        <f t="shared" si="19"/>
        <v>44053</v>
      </c>
      <c r="B255" s="1">
        <v>0.58341106444479263</v>
      </c>
      <c r="C255" s="1">
        <f t="shared" si="18"/>
        <v>5.2296213325427318E-2</v>
      </c>
      <c r="D255" s="1">
        <f t="shared" si="16"/>
        <v>0.53111485111936529</v>
      </c>
      <c r="E255" s="1">
        <f t="shared" si="15"/>
        <v>0.12246269745369985</v>
      </c>
      <c r="F255" s="1">
        <f t="shared" si="16"/>
        <v>0.40865215366566543</v>
      </c>
      <c r="G255" s="1">
        <f t="shared" si="17"/>
        <v>-3.4416924323967063E-2</v>
      </c>
      <c r="H255" s="1">
        <f t="shared" si="16"/>
        <v>0.40865215366566543</v>
      </c>
    </row>
    <row r="256" spans="1:8" x14ac:dyDescent="0.35">
      <c r="A256" s="3">
        <f t="shared" si="19"/>
        <v>44054</v>
      </c>
      <c r="B256" s="1">
        <v>0.48937802849541301</v>
      </c>
      <c r="C256" s="1">
        <f t="shared" si="18"/>
        <v>-4.2132799775257621E-2</v>
      </c>
      <c r="D256" s="1">
        <f t="shared" si="16"/>
        <v>0.48937802849541301</v>
      </c>
      <c r="E256" s="1">
        <f t="shared" si="15"/>
        <v>8.8963249381779214E-2</v>
      </c>
      <c r="F256" s="1">
        <f t="shared" si="16"/>
        <v>0.40041477911363377</v>
      </c>
      <c r="G256" s="1">
        <f t="shared" si="17"/>
        <v>-3.9764128006000009E-2</v>
      </c>
      <c r="H256" s="1">
        <f t="shared" si="16"/>
        <v>0.40041477911363377</v>
      </c>
    </row>
    <row r="257" spans="1:8" x14ac:dyDescent="0.35">
      <c r="A257" s="3">
        <f t="shared" si="19"/>
        <v>44055</v>
      </c>
      <c r="B257" s="1">
        <v>0.42269178797705104</v>
      </c>
      <c r="C257" s="1">
        <f t="shared" si="18"/>
        <v>-0.10315834629103671</v>
      </c>
      <c r="D257" s="1">
        <f t="shared" si="16"/>
        <v>0.42269178797705104</v>
      </c>
      <c r="E257" s="1">
        <f t="shared" si="15"/>
        <v>2.6786749062546814E-2</v>
      </c>
      <c r="F257" s="1">
        <f t="shared" si="16"/>
        <v>0.39590503891450424</v>
      </c>
      <c r="G257" s="1">
        <f t="shared" si="17"/>
        <v>-4.1122443347212184E-2</v>
      </c>
      <c r="H257" s="1">
        <f t="shared" si="16"/>
        <v>0.39590503891450424</v>
      </c>
    </row>
    <row r="258" spans="1:8" x14ac:dyDescent="0.35">
      <c r="A258" s="3">
        <f t="shared" si="19"/>
        <v>44056</v>
      </c>
      <c r="B258" s="1">
        <v>0.40376875274673923</v>
      </c>
      <c r="C258" s="1">
        <f t="shared" si="18"/>
        <v>-0.11363489172838406</v>
      </c>
      <c r="D258" s="1">
        <f t="shared" si="16"/>
        <v>0.40376875274673923</v>
      </c>
      <c r="E258" s="1">
        <f t="shared" si="15"/>
        <v>9.2684623279694085E-3</v>
      </c>
      <c r="F258" s="1">
        <f t="shared" si="16"/>
        <v>0.39450029041876983</v>
      </c>
      <c r="G258" s="1">
        <f t="shared" si="17"/>
        <v>-3.9390330523315642E-2</v>
      </c>
      <c r="H258" s="1">
        <f t="shared" si="16"/>
        <v>0.39450029041876983</v>
      </c>
    </row>
    <row r="259" spans="1:8" x14ac:dyDescent="0.35">
      <c r="A259" s="3">
        <f t="shared" si="19"/>
        <v>44057</v>
      </c>
      <c r="B259" s="1">
        <v>0.38473682255269442</v>
      </c>
      <c r="C259" s="1">
        <f t="shared" si="18"/>
        <v>-0.12343050766052339</v>
      </c>
      <c r="D259" s="1">
        <f t="shared" si="16"/>
        <v>0.38473682255269442</v>
      </c>
      <c r="E259" s="1">
        <f t="shared" ref="E259:E322" si="20">alpha*E260+(1+alpha)/2*(D259-D260)</f>
        <v>-9.7835356581607823E-3</v>
      </c>
      <c r="F259" s="1">
        <f t="shared" si="16"/>
        <v>0.38473682255269442</v>
      </c>
      <c r="G259" s="1">
        <f t="shared" si="17"/>
        <v>-4.5833393555164546E-2</v>
      </c>
      <c r="H259" s="1">
        <f t="shared" si="16"/>
        <v>0.38473682255269442</v>
      </c>
    </row>
    <row r="260" spans="1:8" x14ac:dyDescent="0.35">
      <c r="A260" s="3">
        <f t="shared" si="19"/>
        <v>44058</v>
      </c>
      <c r="B260" s="1">
        <v>0.36535579252539424</v>
      </c>
      <c r="C260" s="1">
        <f t="shared" si="18"/>
        <v>-0.13282746098726056</v>
      </c>
      <c r="D260" s="1">
        <f t="shared" ref="D260:H323" si="21">B260-MAX(0,C260)</f>
        <v>0.36535579252539424</v>
      </c>
      <c r="E260" s="1">
        <f t="shared" si="20"/>
        <v>-3.0743542766959144E-2</v>
      </c>
      <c r="F260" s="1">
        <f t="shared" si="21"/>
        <v>0.36535579252539424</v>
      </c>
      <c r="G260" s="1">
        <f t="shared" ref="G260:G323" si="22">alpha*G259+(1+alpha)/2*(F260-F259)</f>
        <v>-6.1050130439803632E-2</v>
      </c>
      <c r="H260" s="1">
        <f t="shared" si="21"/>
        <v>0.36535579252539424</v>
      </c>
    </row>
    <row r="261" spans="1:8" x14ac:dyDescent="0.35">
      <c r="A261" s="3">
        <f t="shared" si="19"/>
        <v>44059</v>
      </c>
      <c r="B261" s="1">
        <v>0.3627248396768597</v>
      </c>
      <c r="C261" s="1">
        <f t="shared" ref="C261:C324" si="23">alpha*C260+(1+alpha)/2*(B261-B260)</f>
        <v>-0.12539769352993052</v>
      </c>
      <c r="D261" s="1">
        <f t="shared" si="21"/>
        <v>0.3627248396768597</v>
      </c>
      <c r="E261" s="1">
        <f t="shared" si="20"/>
        <v>-3.5973875549917447E-2</v>
      </c>
      <c r="F261" s="1">
        <f t="shared" si="21"/>
        <v>0.3627248396768597</v>
      </c>
      <c r="G261" s="1">
        <f t="shared" si="22"/>
        <v>-5.9003662773532861E-2</v>
      </c>
      <c r="H261" s="1">
        <f t="shared" si="21"/>
        <v>0.3627248396768597</v>
      </c>
    </row>
    <row r="262" spans="1:8" x14ac:dyDescent="0.35">
      <c r="A262" s="3">
        <f t="shared" si="19"/>
        <v>44060</v>
      </c>
      <c r="B262" s="1">
        <v>0.35233910336050323</v>
      </c>
      <c r="C262" s="1">
        <f t="shared" si="23"/>
        <v>-0.12598913771967885</v>
      </c>
      <c r="D262" s="1">
        <f t="shared" si="21"/>
        <v>0.35233910336050323</v>
      </c>
      <c r="E262" s="1">
        <f t="shared" si="20"/>
        <v>-4.9697455950714113E-2</v>
      </c>
      <c r="F262" s="1">
        <f t="shared" si="21"/>
        <v>0.35233910336050323</v>
      </c>
      <c r="G262" s="1">
        <f t="shared" si="22"/>
        <v>-6.4574659270011006E-2</v>
      </c>
      <c r="H262" s="1">
        <f t="shared" si="21"/>
        <v>0.35233910336050323</v>
      </c>
    </row>
    <row r="263" spans="1:8" x14ac:dyDescent="0.35">
      <c r="A263" s="3">
        <f t="shared" si="19"/>
        <v>44061</v>
      </c>
      <c r="B263" s="1">
        <v>0.35355720613379216</v>
      </c>
      <c r="C263" s="1">
        <f t="shared" si="23"/>
        <v>-0.11536752847141235</v>
      </c>
      <c r="D263" s="1">
        <f t="shared" si="21"/>
        <v>0.35355720613379216</v>
      </c>
      <c r="E263" s="1">
        <f t="shared" si="20"/>
        <v>-5.2459494088025423E-2</v>
      </c>
      <c r="F263" s="1">
        <f t="shared" si="21"/>
        <v>0.35355720613379216</v>
      </c>
      <c r="G263" s="1">
        <f t="shared" si="22"/>
        <v>-5.8559135905469586E-2</v>
      </c>
      <c r="H263" s="1">
        <f t="shared" si="21"/>
        <v>0.35355720613379216</v>
      </c>
    </row>
    <row r="264" spans="1:8" x14ac:dyDescent="0.35">
      <c r="A264" s="3">
        <f t="shared" si="19"/>
        <v>44062</v>
      </c>
      <c r="B264" s="1">
        <v>0.36311540374683421</v>
      </c>
      <c r="C264" s="1">
        <f t="shared" si="23"/>
        <v>-9.7515198633503455E-2</v>
      </c>
      <c r="D264" s="1">
        <f t="shared" si="21"/>
        <v>0.36311540374683421</v>
      </c>
      <c r="E264" s="1">
        <f t="shared" si="20"/>
        <v>-4.6767274470781023E-2</v>
      </c>
      <c r="F264" s="1">
        <f t="shared" si="21"/>
        <v>0.36311540374683421</v>
      </c>
      <c r="G264" s="1">
        <f t="shared" si="22"/>
        <v>-4.4967435510006398E-2</v>
      </c>
      <c r="H264" s="1">
        <f t="shared" si="21"/>
        <v>0.36311540374683421</v>
      </c>
    </row>
    <row r="265" spans="1:8" x14ac:dyDescent="0.35">
      <c r="A265" s="3">
        <f t="shared" si="19"/>
        <v>44063</v>
      </c>
      <c r="B265" s="1">
        <v>0.35537349883607167</v>
      </c>
      <c r="C265" s="1">
        <f t="shared" si="23"/>
        <v>-9.7653142212599645E-2</v>
      </c>
      <c r="D265" s="1">
        <f t="shared" si="21"/>
        <v>0.35537349883607167</v>
      </c>
      <c r="E265" s="1">
        <f t="shared" si="20"/>
        <v>-5.8614981564745906E-2</v>
      </c>
      <c r="F265" s="1">
        <f t="shared" si="21"/>
        <v>0.35537349883607167</v>
      </c>
      <c r="G265" s="1">
        <f t="shared" si="22"/>
        <v>-4.9046461323364862E-2</v>
      </c>
      <c r="H265" s="1">
        <f t="shared" si="21"/>
        <v>0.35537349883607167</v>
      </c>
    </row>
    <row r="266" spans="1:8" x14ac:dyDescent="0.35">
      <c r="A266" s="3">
        <f t="shared" si="19"/>
        <v>44064</v>
      </c>
      <c r="B266" s="1">
        <v>0.35822159894666544</v>
      </c>
      <c r="C266" s="1">
        <f t="shared" si="23"/>
        <v>-8.7587860190208158E-2</v>
      </c>
      <c r="D266" s="1">
        <f t="shared" si="21"/>
        <v>0.35822159894666544</v>
      </c>
      <c r="E266" s="1">
        <f t="shared" si="20"/>
        <v>-6.0403984008972317E-2</v>
      </c>
      <c r="F266" s="1">
        <f t="shared" si="21"/>
        <v>0.35822159894666544</v>
      </c>
      <c r="G266" s="1">
        <f t="shared" si="22"/>
        <v>-4.2626680367665988E-2</v>
      </c>
      <c r="H266" s="1">
        <f t="shared" si="21"/>
        <v>0.35822159894666544</v>
      </c>
    </row>
    <row r="267" spans="1:8" x14ac:dyDescent="0.35">
      <c r="A267" s="3">
        <f t="shared" si="19"/>
        <v>44065</v>
      </c>
      <c r="B267" s="1">
        <v>0.33185394813535057</v>
      </c>
      <c r="C267" s="1">
        <f t="shared" si="23"/>
        <v>-0.10639763458183311</v>
      </c>
      <c r="D267" s="1">
        <f t="shared" si="21"/>
        <v>0.33185394813535057</v>
      </c>
      <c r="E267" s="1">
        <f t="shared" si="20"/>
        <v>-9.2738213962013913E-2</v>
      </c>
      <c r="F267" s="1">
        <f t="shared" si="21"/>
        <v>0.33185394813535057</v>
      </c>
      <c r="G267" s="1">
        <f t="shared" si="22"/>
        <v>-6.4808543245981606E-2</v>
      </c>
      <c r="H267" s="1">
        <f t="shared" si="21"/>
        <v>0.33185394813535057</v>
      </c>
    </row>
    <row r="268" spans="1:8" x14ac:dyDescent="0.35">
      <c r="A268" s="3">
        <f t="shared" si="19"/>
        <v>44066</v>
      </c>
      <c r="B268" s="1">
        <v>0.3319861284447278</v>
      </c>
      <c r="C268" s="1">
        <f t="shared" si="23"/>
        <v>-9.8290588440420046E-2</v>
      </c>
      <c r="D268" s="1">
        <f t="shared" si="21"/>
        <v>0.3319861284447278</v>
      </c>
      <c r="E268" s="1">
        <f t="shared" si="20"/>
        <v>-0.10011998963701441</v>
      </c>
      <c r="F268" s="1">
        <f t="shared" si="21"/>
        <v>0.3319861284447278</v>
      </c>
      <c r="G268" s="1">
        <f t="shared" si="22"/>
        <v>-5.9820678954757407E-2</v>
      </c>
      <c r="H268" s="1">
        <f t="shared" si="21"/>
        <v>0.3319861284447278</v>
      </c>
    </row>
    <row r="269" spans="1:8" x14ac:dyDescent="0.35">
      <c r="A269" s="3">
        <f t="shared" si="19"/>
        <v>44067</v>
      </c>
      <c r="B269" s="1">
        <v>0.33861435597611639</v>
      </c>
      <c r="C269" s="1">
        <f t="shared" si="23"/>
        <v>-8.4539125308427027E-2</v>
      </c>
      <c r="D269" s="1">
        <f t="shared" si="21"/>
        <v>0.33861435597611639</v>
      </c>
      <c r="E269" s="1">
        <f t="shared" si="20"/>
        <v>-0.10134088717627339</v>
      </c>
      <c r="F269" s="1">
        <f t="shared" si="21"/>
        <v>0.33861435597611639</v>
      </c>
      <c r="G269" s="1">
        <f t="shared" si="22"/>
        <v>-4.8954459034189088E-2</v>
      </c>
      <c r="H269" s="1">
        <f t="shared" si="21"/>
        <v>0.33861435597611639</v>
      </c>
    </row>
    <row r="270" spans="1:8" x14ac:dyDescent="0.35">
      <c r="A270" s="3">
        <f t="shared" si="19"/>
        <v>44068</v>
      </c>
      <c r="B270" s="1">
        <v>0.98225843492657416</v>
      </c>
      <c r="C270" s="1">
        <f t="shared" si="23"/>
        <v>0.54130873507952071</v>
      </c>
      <c r="D270" s="1">
        <f t="shared" si="21"/>
        <v>0.44094969984705346</v>
      </c>
      <c r="E270" s="1">
        <f t="shared" si="20"/>
        <v>-3.0736418383745454E-3</v>
      </c>
      <c r="F270" s="1">
        <f t="shared" si="21"/>
        <v>0.44094969984705346</v>
      </c>
      <c r="G270" s="1">
        <f t="shared" si="22"/>
        <v>5.321489386915202E-2</v>
      </c>
      <c r="H270" s="1">
        <f t="shared" si="21"/>
        <v>0.38773480597790144</v>
      </c>
    </row>
    <row r="271" spans="1:8" x14ac:dyDescent="0.35">
      <c r="A271" s="3">
        <f t="shared" si="19"/>
        <v>44069</v>
      </c>
      <c r="B271" s="1">
        <v>0.53700877651340495</v>
      </c>
      <c r="C271" s="1">
        <f t="shared" si="23"/>
        <v>7.215778372588133E-2</v>
      </c>
      <c r="D271" s="1">
        <f t="shared" si="21"/>
        <v>0.46485099278752362</v>
      </c>
      <c r="E271" s="1">
        <f t="shared" si="20"/>
        <v>2.1547408234408635E-2</v>
      </c>
      <c r="F271" s="1">
        <f t="shared" si="21"/>
        <v>0.44330358455311497</v>
      </c>
      <c r="G271" s="1">
        <f t="shared" si="22"/>
        <v>5.1489390858549831E-2</v>
      </c>
      <c r="H271" s="1">
        <f t="shared" si="21"/>
        <v>0.39181419369456516</v>
      </c>
    </row>
    <row r="272" spans="1:8" x14ac:dyDescent="0.35">
      <c r="A272" s="3">
        <f t="shared" si="19"/>
        <v>44070</v>
      </c>
      <c r="B272" s="1">
        <v>0.57620954708862304</v>
      </c>
      <c r="C272" s="1">
        <f t="shared" si="23"/>
        <v>0.10447669162508764</v>
      </c>
      <c r="D272" s="1">
        <f t="shared" si="21"/>
        <v>0.47173285546353538</v>
      </c>
      <c r="E272" s="1">
        <f t="shared" si="20"/>
        <v>3.0455352497372926E-2</v>
      </c>
      <c r="F272" s="1">
        <f t="shared" si="21"/>
        <v>0.44127750296616247</v>
      </c>
      <c r="G272" s="1">
        <f t="shared" si="22"/>
        <v>4.5677583016716816E-2</v>
      </c>
      <c r="H272" s="1">
        <f t="shared" si="21"/>
        <v>0.39559991994944566</v>
      </c>
    </row>
    <row r="273" spans="1:8" x14ac:dyDescent="0.35">
      <c r="A273" s="3">
        <f t="shared" si="19"/>
        <v>44071</v>
      </c>
      <c r="B273" s="1">
        <v>0.7357925729794067</v>
      </c>
      <c r="C273" s="1">
        <f t="shared" si="23"/>
        <v>0.25023960217308533</v>
      </c>
      <c r="D273" s="1">
        <f t="shared" si="21"/>
        <v>0.48555297080632137</v>
      </c>
      <c r="E273" s="1">
        <f t="shared" si="20"/>
        <v>4.7305095691680475E-2</v>
      </c>
      <c r="F273" s="1">
        <f t="shared" si="21"/>
        <v>0.43824787511464092</v>
      </c>
      <c r="G273" s="1">
        <f t="shared" si="22"/>
        <v>3.9335747483373554E-2</v>
      </c>
      <c r="H273" s="1">
        <f t="shared" si="21"/>
        <v>0.39891212763126738</v>
      </c>
    </row>
    <row r="274" spans="1:8" x14ac:dyDescent="0.35">
      <c r="A274" s="3">
        <f t="shared" si="19"/>
        <v>44072</v>
      </c>
      <c r="B274" s="1">
        <v>0.65958122979845413</v>
      </c>
      <c r="C274" s="1">
        <f t="shared" si="23"/>
        <v>0.15811821419843708</v>
      </c>
      <c r="D274" s="1">
        <f t="shared" si="21"/>
        <v>0.50146301560001705</v>
      </c>
      <c r="E274" s="1">
        <f t="shared" si="20"/>
        <v>6.7695690600662231E-2</v>
      </c>
      <c r="F274" s="1">
        <f t="shared" si="21"/>
        <v>0.43376732499935483</v>
      </c>
      <c r="G274" s="1">
        <f t="shared" si="22"/>
        <v>3.2073036936157685E-2</v>
      </c>
      <c r="H274" s="1">
        <f t="shared" si="21"/>
        <v>0.40169428806319712</v>
      </c>
    </row>
    <row r="275" spans="1:8" x14ac:dyDescent="0.35">
      <c r="A275" s="3">
        <f t="shared" si="19"/>
        <v>44073</v>
      </c>
      <c r="B275" s="1">
        <v>0.45549081673298764</v>
      </c>
      <c r="C275" s="1">
        <f t="shared" si="23"/>
        <v>-5.0177674441957199E-2</v>
      </c>
      <c r="D275" s="1">
        <f t="shared" si="21"/>
        <v>0.45549081673298764</v>
      </c>
      <c r="E275" s="1">
        <f t="shared" si="20"/>
        <v>2.534859372015829E-2</v>
      </c>
      <c r="F275" s="1">
        <f t="shared" si="21"/>
        <v>0.43014222301282934</v>
      </c>
      <c r="G275" s="1">
        <f t="shared" si="22"/>
        <v>2.6178398503915075E-2</v>
      </c>
      <c r="H275" s="1">
        <f t="shared" si="21"/>
        <v>0.40396382450891427</v>
      </c>
    </row>
    <row r="276" spans="1:8" x14ac:dyDescent="0.35">
      <c r="A276" s="3">
        <f t="shared" si="19"/>
        <v>44074</v>
      </c>
      <c r="B276" s="1">
        <v>0.41493024037798421</v>
      </c>
      <c r="C276" s="1">
        <f t="shared" si="23"/>
        <v>-8.5453903600501216E-2</v>
      </c>
      <c r="D276" s="1">
        <f t="shared" si="21"/>
        <v>0.41493024037798421</v>
      </c>
      <c r="E276" s="1">
        <f t="shared" si="20"/>
        <v>-1.4801038942197309E-2</v>
      </c>
      <c r="F276" s="1">
        <f t="shared" si="21"/>
        <v>0.41493024037798421</v>
      </c>
      <c r="G276" s="1">
        <f t="shared" si="22"/>
        <v>9.5734853300830057E-3</v>
      </c>
      <c r="H276" s="1">
        <f t="shared" si="21"/>
        <v>0.4053567550479012</v>
      </c>
    </row>
    <row r="277" spans="1:8" x14ac:dyDescent="0.35">
      <c r="A277" s="3">
        <f t="shared" si="19"/>
        <v>44075</v>
      </c>
      <c r="B277" s="1">
        <v>0.38555365975412648</v>
      </c>
      <c r="C277" s="1">
        <f t="shared" si="23"/>
        <v>-0.10731981968092669</v>
      </c>
      <c r="D277" s="1">
        <f t="shared" si="21"/>
        <v>0.38555365975412648</v>
      </c>
      <c r="E277" s="1">
        <f t="shared" si="20"/>
        <v>-4.6568646262335534E-2</v>
      </c>
      <c r="F277" s="1">
        <f t="shared" si="21"/>
        <v>0.38555365975412648</v>
      </c>
      <c r="G277" s="1">
        <f t="shared" si="22"/>
        <v>-1.9419484920136284E-2</v>
      </c>
      <c r="H277" s="1">
        <f t="shared" si="21"/>
        <v>0.38555365975412648</v>
      </c>
    </row>
    <row r="278" spans="1:8" x14ac:dyDescent="0.35">
      <c r="A278" s="3">
        <f t="shared" si="19"/>
        <v>44076</v>
      </c>
      <c r="B278" s="1">
        <v>0.61979521936282722</v>
      </c>
      <c r="C278" s="1">
        <f t="shared" si="23"/>
        <v>0.12618666791851729</v>
      </c>
      <c r="D278" s="1">
        <f t="shared" si="21"/>
        <v>0.49360855144430993</v>
      </c>
      <c r="E278" s="1">
        <f t="shared" si="20"/>
        <v>6.2091012961584903E-2</v>
      </c>
      <c r="F278" s="1">
        <f t="shared" si="21"/>
        <v>0.431517538482725</v>
      </c>
      <c r="G278" s="1">
        <f t="shared" si="22"/>
        <v>2.6277209725150019E-2</v>
      </c>
      <c r="H278" s="1">
        <f t="shared" si="21"/>
        <v>0.40524032875757499</v>
      </c>
    </row>
    <row r="279" spans="1:8" x14ac:dyDescent="0.35">
      <c r="A279" s="3">
        <f t="shared" si="19"/>
        <v>44077</v>
      </c>
      <c r="B279" s="1">
        <v>0.43393076377385681</v>
      </c>
      <c r="C279" s="1">
        <f t="shared" si="23"/>
        <v>-6.217187067975552E-2</v>
      </c>
      <c r="D279" s="1">
        <f t="shared" si="21"/>
        <v>0.43393076377385681</v>
      </c>
      <c r="E279" s="1">
        <f t="shared" si="20"/>
        <v>5.0282619770527295E-3</v>
      </c>
      <c r="F279" s="1">
        <f t="shared" si="21"/>
        <v>0.42890250179680406</v>
      </c>
      <c r="G279" s="1">
        <f t="shared" si="22"/>
        <v>2.1789446185564859E-2</v>
      </c>
      <c r="H279" s="1">
        <f t="shared" si="21"/>
        <v>0.40711305561123923</v>
      </c>
    </row>
    <row r="280" spans="1:8" x14ac:dyDescent="0.35">
      <c r="A280" s="3">
        <f t="shared" si="19"/>
        <v>44078</v>
      </c>
      <c r="B280" s="1">
        <v>0.3961719460926742</v>
      </c>
      <c r="C280" s="1">
        <f t="shared" si="23"/>
        <v>-9.3851842396912133E-2</v>
      </c>
      <c r="D280" s="1">
        <f t="shared" si="21"/>
        <v>0.3961719460926742</v>
      </c>
      <c r="E280" s="1">
        <f t="shared" si="20"/>
        <v>-3.3853621666038412E-2</v>
      </c>
      <c r="F280" s="1">
        <f t="shared" si="21"/>
        <v>0.3961719460926742</v>
      </c>
      <c r="G280" s="1">
        <f t="shared" si="22"/>
        <v>-1.1347922143577497E-2</v>
      </c>
      <c r="H280" s="1">
        <f t="shared" si="21"/>
        <v>0.3961719460926742</v>
      </c>
    </row>
    <row r="281" spans="1:8" x14ac:dyDescent="0.35">
      <c r="A281" s="3">
        <f t="shared" si="19"/>
        <v>44079</v>
      </c>
      <c r="B281" s="1">
        <v>0.36584469016684312</v>
      </c>
      <c r="C281" s="1">
        <f t="shared" si="23"/>
        <v>-0.11600293804575615</v>
      </c>
      <c r="D281" s="1">
        <f t="shared" si="21"/>
        <v>0.36584469016684312</v>
      </c>
      <c r="E281" s="1">
        <f t="shared" si="20"/>
        <v>-6.8155249183406291E-2</v>
      </c>
      <c r="F281" s="1">
        <f t="shared" si="21"/>
        <v>0.36584469016684312</v>
      </c>
      <c r="G281" s="1">
        <f t="shared" si="22"/>
        <v>-3.9686811811421599E-2</v>
      </c>
      <c r="H281" s="1">
        <f t="shared" si="21"/>
        <v>0.36584469016684312</v>
      </c>
    </row>
    <row r="282" spans="1:8" x14ac:dyDescent="0.35">
      <c r="A282" s="3">
        <f t="shared" si="19"/>
        <v>44080</v>
      </c>
      <c r="B282" s="1">
        <v>0.36418077925284087</v>
      </c>
      <c r="C282" s="1">
        <f t="shared" si="23"/>
        <v>-0.10890423194705161</v>
      </c>
      <c r="D282" s="1">
        <f t="shared" si="21"/>
        <v>0.36418077925284087</v>
      </c>
      <c r="E282" s="1">
        <f t="shared" si="20"/>
        <v>-7.5412717230414553E-2</v>
      </c>
      <c r="F282" s="1">
        <f t="shared" si="21"/>
        <v>0.36418077925284087</v>
      </c>
      <c r="G282" s="1">
        <f t="shared" si="22"/>
        <v>-3.8311815180292148E-2</v>
      </c>
      <c r="H282" s="1">
        <f t="shared" si="21"/>
        <v>0.36418077925284087</v>
      </c>
    </row>
    <row r="283" spans="1:8" x14ac:dyDescent="0.35">
      <c r="A283" s="3">
        <f t="shared" si="19"/>
        <v>44081</v>
      </c>
      <c r="B283" s="1">
        <v>0.35171952040190813</v>
      </c>
      <c r="C283" s="1">
        <f t="shared" si="23"/>
        <v>-0.1127303761950455</v>
      </c>
      <c r="D283" s="1">
        <f t="shared" si="21"/>
        <v>0.35171952040190813</v>
      </c>
      <c r="E283" s="1">
        <f t="shared" si="20"/>
        <v>-9.4493706891283585E-2</v>
      </c>
      <c r="F283" s="1">
        <f t="shared" si="21"/>
        <v>0.35171952040190813</v>
      </c>
      <c r="G283" s="1">
        <f t="shared" si="22"/>
        <v>-4.7432390685793011E-2</v>
      </c>
      <c r="H283" s="1">
        <f t="shared" si="21"/>
        <v>0.35171952040190813</v>
      </c>
    </row>
    <row r="284" spans="1:8" x14ac:dyDescent="0.35">
      <c r="A284" s="3">
        <f t="shared" si="19"/>
        <v>44082</v>
      </c>
      <c r="B284" s="1">
        <v>0.63931912016996373</v>
      </c>
      <c r="C284" s="1">
        <f t="shared" si="23"/>
        <v>0.17253901679633643</v>
      </c>
      <c r="D284" s="1">
        <f t="shared" si="21"/>
        <v>0.4667801033736273</v>
      </c>
      <c r="E284" s="1">
        <f t="shared" si="20"/>
        <v>1.7569842398914723E-2</v>
      </c>
      <c r="F284" s="1">
        <f t="shared" si="21"/>
        <v>0.44921026097471256</v>
      </c>
      <c r="G284" s="1">
        <f t="shared" si="22"/>
        <v>4.995987641696574E-2</v>
      </c>
      <c r="H284" s="1">
        <f t="shared" si="21"/>
        <v>0.39925038455774681</v>
      </c>
    </row>
    <row r="285" spans="1:8" x14ac:dyDescent="0.35">
      <c r="A285" s="3">
        <f t="shared" si="19"/>
        <v>44083</v>
      </c>
      <c r="B285" s="1">
        <v>0.70196606259242511</v>
      </c>
      <c r="C285" s="1">
        <f t="shared" si="23"/>
        <v>0.2198962726182303</v>
      </c>
      <c r="D285" s="1">
        <f t="shared" si="21"/>
        <v>0.48206978997419481</v>
      </c>
      <c r="E285" s="1">
        <f t="shared" si="20"/>
        <v>3.490396297509292E-2</v>
      </c>
      <c r="F285" s="1">
        <f t="shared" si="21"/>
        <v>0.4471658269991019</v>
      </c>
      <c r="G285" s="1">
        <f t="shared" si="22"/>
        <v>4.4245117984168053E-2</v>
      </c>
      <c r="H285" s="1">
        <f t="shared" si="21"/>
        <v>0.40292070901493382</v>
      </c>
    </row>
    <row r="286" spans="1:8" x14ac:dyDescent="0.35">
      <c r="A286" s="3">
        <f t="shared" si="19"/>
        <v>44084</v>
      </c>
      <c r="B286" s="1">
        <v>0.85432166061878678</v>
      </c>
      <c r="C286" s="1">
        <f t="shared" si="23"/>
        <v>0.35004631527223617</v>
      </c>
      <c r="D286" s="1">
        <f t="shared" si="21"/>
        <v>0.50427534534655061</v>
      </c>
      <c r="E286" s="1">
        <f t="shared" si="20"/>
        <v>6.0839794617281485E-2</v>
      </c>
      <c r="F286" s="1">
        <f t="shared" si="21"/>
        <v>0.4434355507292691</v>
      </c>
      <c r="G286" s="1">
        <f t="shared" si="22"/>
        <v>3.7336343225641382E-2</v>
      </c>
      <c r="H286" s="1">
        <f t="shared" si="21"/>
        <v>0.40609920750362771</v>
      </c>
    </row>
    <row r="287" spans="1:8" x14ac:dyDescent="0.35">
      <c r="A287" s="3">
        <f t="shared" si="19"/>
        <v>44085</v>
      </c>
      <c r="B287" s="1">
        <v>0.88756819379921004</v>
      </c>
      <c r="C287" s="1">
        <f t="shared" si="23"/>
        <v>0.35579262981297588</v>
      </c>
      <c r="D287" s="1">
        <f t="shared" si="21"/>
        <v>0.53177556398623416</v>
      </c>
      <c r="E287" s="1">
        <f t="shared" si="20"/>
        <v>9.4387843305920968E-2</v>
      </c>
      <c r="F287" s="1">
        <f t="shared" si="21"/>
        <v>0.43738772068031317</v>
      </c>
      <c r="G287" s="1">
        <f t="shared" si="22"/>
        <v>2.8715081061598199E-2</v>
      </c>
      <c r="H287" s="1">
        <f t="shared" si="21"/>
        <v>0.40867263961871497</v>
      </c>
    </row>
    <row r="288" spans="1:8" x14ac:dyDescent="0.35">
      <c r="A288" s="3">
        <f t="shared" si="19"/>
        <v>44086</v>
      </c>
      <c r="B288" s="1">
        <v>1.2745304260948724</v>
      </c>
      <c r="C288" s="1">
        <f t="shared" si="23"/>
        <v>0.70155933116157776</v>
      </c>
      <c r="D288" s="1">
        <f t="shared" si="21"/>
        <v>0.57297109493329468</v>
      </c>
      <c r="E288" s="1">
        <f t="shared" si="20"/>
        <v>0.14490653172158563</v>
      </c>
      <c r="F288" s="1">
        <f t="shared" si="21"/>
        <v>0.42806456321170905</v>
      </c>
      <c r="G288" s="1">
        <f t="shared" si="22"/>
        <v>1.7587910918446865E-2</v>
      </c>
      <c r="H288" s="1">
        <f t="shared" si="21"/>
        <v>0.41047665229326219</v>
      </c>
    </row>
    <row r="289" spans="1:8" x14ac:dyDescent="0.35">
      <c r="A289" s="3">
        <f t="shared" si="19"/>
        <v>44087</v>
      </c>
      <c r="B289" s="1">
        <v>0.78616918430453575</v>
      </c>
      <c r="C289" s="1">
        <f t="shared" si="23"/>
        <v>0.17889468610126041</v>
      </c>
      <c r="D289" s="1">
        <f t="shared" si="21"/>
        <v>0.60727449820327539</v>
      </c>
      <c r="E289" s="1">
        <f t="shared" si="20"/>
        <v>0.19234979175020761</v>
      </c>
      <c r="F289" s="1">
        <f t="shared" si="21"/>
        <v>0.41492470645306778</v>
      </c>
      <c r="G289" s="1">
        <f t="shared" si="22"/>
        <v>3.6217054693711333E-3</v>
      </c>
      <c r="H289" s="1">
        <f t="shared" si="21"/>
        <v>0.41130300098369665</v>
      </c>
    </row>
    <row r="290" spans="1:8" x14ac:dyDescent="0.35">
      <c r="A290" s="3">
        <f t="shared" si="19"/>
        <v>44088</v>
      </c>
      <c r="B290" s="1">
        <v>0.57690026787591897</v>
      </c>
      <c r="C290" s="1">
        <f t="shared" si="23"/>
        <v>-3.5943747418877764E-2</v>
      </c>
      <c r="D290" s="1">
        <f t="shared" si="21"/>
        <v>0.57690026787591897</v>
      </c>
      <c r="E290" s="1">
        <f t="shared" si="20"/>
        <v>0.1763401027677049</v>
      </c>
      <c r="F290" s="1">
        <f t="shared" si="21"/>
        <v>0.40056016510821407</v>
      </c>
      <c r="G290" s="1">
        <f t="shared" si="22"/>
        <v>-1.0475793485253397E-2</v>
      </c>
      <c r="H290" s="1">
        <f t="shared" si="21"/>
        <v>0.40056016510821407</v>
      </c>
    </row>
    <row r="291" spans="1:8" x14ac:dyDescent="0.35">
      <c r="A291" s="3">
        <f t="shared" ref="A291:A354" si="24">A290+1</f>
        <v>44089</v>
      </c>
      <c r="B291" s="1">
        <v>0.49109454433463195</v>
      </c>
      <c r="C291" s="1">
        <f t="shared" si="23"/>
        <v>-0.11583597527095069</v>
      </c>
      <c r="D291" s="1">
        <f t="shared" si="21"/>
        <v>0.49109454433463195</v>
      </c>
      <c r="E291" s="1">
        <f t="shared" si="20"/>
        <v>0.10135361498293634</v>
      </c>
      <c r="F291" s="1">
        <f t="shared" si="21"/>
        <v>0.38974092935169563</v>
      </c>
      <c r="G291" s="1">
        <f t="shared" si="22"/>
        <v>-2.0103623389508392E-2</v>
      </c>
      <c r="H291" s="1">
        <f t="shared" si="21"/>
        <v>0.38974092935169563</v>
      </c>
    </row>
    <row r="292" spans="1:8" x14ac:dyDescent="0.35">
      <c r="A292" s="3">
        <f t="shared" si="24"/>
        <v>44090</v>
      </c>
      <c r="B292" s="1">
        <v>0.44682164539829311</v>
      </c>
      <c r="C292" s="1">
        <f t="shared" si="23"/>
        <v>-0.14976094235185552</v>
      </c>
      <c r="D292" s="1">
        <f t="shared" si="21"/>
        <v>0.44682164539829311</v>
      </c>
      <c r="E292" s="1">
        <f t="shared" si="20"/>
        <v>6.3503729466713732E-2</v>
      </c>
      <c r="F292" s="1">
        <f t="shared" si="21"/>
        <v>0.38331791593157938</v>
      </c>
      <c r="G292" s="1">
        <f t="shared" si="22"/>
        <v>-2.4778002052157157E-2</v>
      </c>
      <c r="H292" s="1">
        <f t="shared" si="21"/>
        <v>0.38331791593157938</v>
      </c>
    </row>
    <row r="293" spans="1:8" x14ac:dyDescent="0.35">
      <c r="A293" s="3">
        <f t="shared" si="24"/>
        <v>44091</v>
      </c>
      <c r="B293" s="1">
        <v>0.41778120615490272</v>
      </c>
      <c r="C293" s="1">
        <f t="shared" si="23"/>
        <v>-0.16648029444722962</v>
      </c>
      <c r="D293" s="1">
        <f t="shared" si="21"/>
        <v>0.41778120615490272</v>
      </c>
      <c r="E293" s="1">
        <f t="shared" si="20"/>
        <v>3.8434926156703221E-2</v>
      </c>
      <c r="F293" s="1">
        <f t="shared" si="21"/>
        <v>0.37934627999819948</v>
      </c>
      <c r="G293" s="1">
        <f t="shared" si="22"/>
        <v>-2.674235148412353E-2</v>
      </c>
      <c r="H293" s="1">
        <f t="shared" si="21"/>
        <v>0.37934627999819948</v>
      </c>
    </row>
    <row r="294" spans="1:8" x14ac:dyDescent="0.35">
      <c r="A294" s="3">
        <f t="shared" si="24"/>
        <v>44092</v>
      </c>
      <c r="B294" s="1">
        <v>0.41690604581775964</v>
      </c>
      <c r="C294" s="1">
        <f t="shared" si="23"/>
        <v>-0.15483661418818762</v>
      </c>
      <c r="D294" s="1">
        <f t="shared" si="21"/>
        <v>0.41690604581775964</v>
      </c>
      <c r="E294" s="1">
        <f t="shared" si="20"/>
        <v>4.0640631710489733E-2</v>
      </c>
      <c r="F294" s="1">
        <f t="shared" si="21"/>
        <v>0.37626541410726988</v>
      </c>
      <c r="G294" s="1">
        <f t="shared" si="22"/>
        <v>-2.7702008542834E-2</v>
      </c>
      <c r="H294" s="1">
        <f t="shared" si="21"/>
        <v>0.37626541410726988</v>
      </c>
    </row>
    <row r="295" spans="1:8" x14ac:dyDescent="0.35">
      <c r="A295" s="3">
        <f t="shared" si="24"/>
        <v>44093</v>
      </c>
      <c r="B295" s="1">
        <v>0.38708106695045735</v>
      </c>
      <c r="C295" s="1">
        <f t="shared" si="23"/>
        <v>-0.171930410283852</v>
      </c>
      <c r="D295" s="1">
        <f t="shared" si="21"/>
        <v>0.38708106695045735</v>
      </c>
      <c r="E295" s="1">
        <f t="shared" si="20"/>
        <v>1.2901718433201384E-2</v>
      </c>
      <c r="F295" s="1">
        <f t="shared" si="21"/>
        <v>0.37417934851725598</v>
      </c>
      <c r="G295" s="1">
        <f t="shared" si="22"/>
        <v>-2.7632196032509826E-2</v>
      </c>
      <c r="H295" s="1">
        <f t="shared" si="21"/>
        <v>0.37417934851725598</v>
      </c>
    </row>
    <row r="296" spans="1:8" x14ac:dyDescent="0.35">
      <c r="A296" s="3">
        <f t="shared" si="24"/>
        <v>44094</v>
      </c>
      <c r="B296" s="1">
        <v>0.36590069251669027</v>
      </c>
      <c r="C296" s="1">
        <f t="shared" si="23"/>
        <v>-0.17942173990506394</v>
      </c>
      <c r="D296" s="1">
        <f t="shared" si="21"/>
        <v>0.36590069251669027</v>
      </c>
      <c r="E296" s="1">
        <f t="shared" si="20"/>
        <v>-8.0912345505939794E-3</v>
      </c>
      <c r="F296" s="1">
        <f t="shared" si="21"/>
        <v>0.36590069251669027</v>
      </c>
      <c r="G296" s="1">
        <f t="shared" si="22"/>
        <v>-3.3527987730616091E-2</v>
      </c>
      <c r="H296" s="1">
        <f t="shared" si="21"/>
        <v>0.36590069251669027</v>
      </c>
    </row>
    <row r="297" spans="1:8" x14ac:dyDescent="0.35">
      <c r="A297" s="3">
        <f t="shared" si="24"/>
        <v>44095</v>
      </c>
      <c r="B297" s="1">
        <v>0.36929734818729459</v>
      </c>
      <c r="C297" s="1">
        <f t="shared" si="23"/>
        <v>-0.16269582832922749</v>
      </c>
      <c r="D297" s="1">
        <f t="shared" si="21"/>
        <v>0.36929734818729459</v>
      </c>
      <c r="E297" s="1">
        <f t="shared" si="20"/>
        <v>-5.2129226677160231E-3</v>
      </c>
      <c r="F297" s="1">
        <f t="shared" si="21"/>
        <v>0.36929734818729459</v>
      </c>
      <c r="G297" s="1">
        <f t="shared" si="22"/>
        <v>-2.7744107567863229E-2</v>
      </c>
      <c r="H297" s="1">
        <f t="shared" si="21"/>
        <v>0.36929734818729459</v>
      </c>
    </row>
    <row r="298" spans="1:8" x14ac:dyDescent="0.35">
      <c r="A298" s="3">
        <f t="shared" si="24"/>
        <v>44096</v>
      </c>
      <c r="B298" s="1">
        <v>0.39230211624391381</v>
      </c>
      <c r="C298" s="1">
        <f t="shared" si="23"/>
        <v>-0.12835155195003944</v>
      </c>
      <c r="D298" s="1">
        <f t="shared" si="21"/>
        <v>0.39230211624391381</v>
      </c>
      <c r="E298" s="1">
        <f t="shared" si="20"/>
        <v>1.8301801715437809E-2</v>
      </c>
      <c r="F298" s="1">
        <f t="shared" si="21"/>
        <v>0.37400031452847599</v>
      </c>
      <c r="G298" s="1">
        <f t="shared" si="22"/>
        <v>-2.11366943968864E-2</v>
      </c>
      <c r="H298" s="1">
        <f t="shared" si="21"/>
        <v>0.37400031452847599</v>
      </c>
    </row>
    <row r="299" spans="1:8" x14ac:dyDescent="0.35">
      <c r="A299" s="3">
        <f t="shared" si="24"/>
        <v>44097</v>
      </c>
      <c r="B299" s="1">
        <v>0.42348198847571489</v>
      </c>
      <c r="C299" s="1">
        <f t="shared" si="23"/>
        <v>-8.8714558530677945E-2</v>
      </c>
      <c r="D299" s="1">
        <f t="shared" si="21"/>
        <v>0.42348198847571489</v>
      </c>
      <c r="E299" s="1">
        <f t="shared" si="20"/>
        <v>5.2229652690320372E-2</v>
      </c>
      <c r="F299" s="1">
        <f t="shared" si="21"/>
        <v>0.37125233578539452</v>
      </c>
      <c r="G299" s="1">
        <f t="shared" si="22"/>
        <v>-2.2196371857335834E-2</v>
      </c>
      <c r="H299" s="1">
        <f t="shared" si="21"/>
        <v>0.37125233578539452</v>
      </c>
    </row>
    <row r="300" spans="1:8" x14ac:dyDescent="0.35">
      <c r="A300" s="3">
        <f t="shared" si="24"/>
        <v>44098</v>
      </c>
      <c r="B300" s="1">
        <v>0.37129016587624775</v>
      </c>
      <c r="C300" s="1">
        <f t="shared" si="23"/>
        <v>-0.13229559589286422</v>
      </c>
      <c r="D300" s="1">
        <f t="shared" si="21"/>
        <v>0.37129016587624775</v>
      </c>
      <c r="E300" s="1">
        <f t="shared" si="20"/>
        <v>2.1567820954954062E-3</v>
      </c>
      <c r="F300" s="1">
        <f t="shared" si="21"/>
        <v>0.36913338378075233</v>
      </c>
      <c r="G300" s="1">
        <f t="shared" si="22"/>
        <v>-2.2571135272503748E-2</v>
      </c>
      <c r="H300" s="1">
        <f t="shared" si="21"/>
        <v>0.36913338378075233</v>
      </c>
    </row>
    <row r="301" spans="1:8" x14ac:dyDescent="0.35">
      <c r="A301" s="3">
        <f t="shared" si="24"/>
        <v>44099</v>
      </c>
      <c r="B301" s="1">
        <v>0.37273357664269602</v>
      </c>
      <c r="C301" s="1">
        <f t="shared" si="23"/>
        <v>-0.12098414333819293</v>
      </c>
      <c r="D301" s="1">
        <f t="shared" si="21"/>
        <v>0.37273357664269602</v>
      </c>
      <c r="E301" s="1">
        <f t="shared" si="20"/>
        <v>3.8335837385966142E-3</v>
      </c>
      <c r="F301" s="1">
        <f t="shared" si="21"/>
        <v>0.36889999290409942</v>
      </c>
      <c r="G301" s="1">
        <f t="shared" si="22"/>
        <v>-2.11029388458444E-2</v>
      </c>
      <c r="H301" s="1">
        <f t="shared" si="21"/>
        <v>0.36889999290409942</v>
      </c>
    </row>
    <row r="302" spans="1:8" x14ac:dyDescent="0.35">
      <c r="A302" s="3">
        <f t="shared" si="24"/>
        <v>44100</v>
      </c>
      <c r="B302" s="1">
        <v>0.36229858009695753</v>
      </c>
      <c r="C302" s="1">
        <f t="shared" si="23"/>
        <v>-0.12195401676310176</v>
      </c>
      <c r="D302" s="1">
        <f t="shared" si="21"/>
        <v>0.36229858009695753</v>
      </c>
      <c r="E302" s="1">
        <f t="shared" si="20"/>
        <v>-6.7136220937045153E-3</v>
      </c>
      <c r="F302" s="1">
        <f t="shared" si="21"/>
        <v>0.36229858009695753</v>
      </c>
      <c r="G302" s="1">
        <f t="shared" si="22"/>
        <v>-2.5874078259280134E-2</v>
      </c>
      <c r="H302" s="1">
        <f t="shared" si="21"/>
        <v>0.36229858009695753</v>
      </c>
    </row>
    <row r="303" spans="1:8" x14ac:dyDescent="0.35">
      <c r="A303" s="3">
        <f t="shared" si="24"/>
        <v>44101</v>
      </c>
      <c r="B303" s="1">
        <v>0.37663745313663388</v>
      </c>
      <c r="C303" s="1">
        <f t="shared" si="23"/>
        <v>-9.9006300205180642E-2</v>
      </c>
      <c r="D303" s="1">
        <f t="shared" si="21"/>
        <v>0.37663745313663388</v>
      </c>
      <c r="E303" s="1">
        <f t="shared" si="20"/>
        <v>7.6622088724151022E-3</v>
      </c>
      <c r="F303" s="1">
        <f t="shared" si="21"/>
        <v>0.36897524426421879</v>
      </c>
      <c r="G303" s="1">
        <f t="shared" si="22"/>
        <v>-1.7507233128845164E-2</v>
      </c>
      <c r="H303" s="1">
        <f t="shared" si="21"/>
        <v>0.36897524426421879</v>
      </c>
    </row>
    <row r="304" spans="1:8" x14ac:dyDescent="0.35">
      <c r="A304" s="3">
        <f t="shared" si="24"/>
        <v>44102</v>
      </c>
      <c r="B304" s="1">
        <v>0.51676773725918634</v>
      </c>
      <c r="C304" s="1">
        <f t="shared" si="23"/>
        <v>4.3294570778164634E-2</v>
      </c>
      <c r="D304" s="1">
        <f t="shared" si="21"/>
        <v>0.47347316648102172</v>
      </c>
      <c r="E304" s="1">
        <f t="shared" si="20"/>
        <v>0.10904495455825772</v>
      </c>
      <c r="F304" s="1">
        <f t="shared" si="21"/>
        <v>0.36442821192276398</v>
      </c>
      <c r="G304" s="1">
        <f t="shared" si="22"/>
        <v>-2.0570709272832038E-2</v>
      </c>
      <c r="H304" s="1">
        <f t="shared" si="21"/>
        <v>0.36442821192276398</v>
      </c>
    </row>
    <row r="305" spans="1:8" x14ac:dyDescent="0.35">
      <c r="A305" s="3">
        <f t="shared" si="24"/>
        <v>44103</v>
      </c>
      <c r="B305" s="1">
        <v>0.45034361035931908</v>
      </c>
      <c r="C305" s="1">
        <f t="shared" si="23"/>
        <v>-2.3885744171319945E-2</v>
      </c>
      <c r="D305" s="1">
        <f t="shared" si="21"/>
        <v>0.45034361035931908</v>
      </c>
      <c r="E305" s="1">
        <f t="shared" si="20"/>
        <v>9.3819196530939369E-2</v>
      </c>
      <c r="F305" s="1">
        <f t="shared" si="21"/>
        <v>0.35652441382837974</v>
      </c>
      <c r="G305" s="1">
        <f t="shared" si="22"/>
        <v>-2.6635311743214467E-2</v>
      </c>
      <c r="H305" s="1">
        <f t="shared" si="21"/>
        <v>0.35652441382837974</v>
      </c>
    </row>
    <row r="306" spans="1:8" x14ac:dyDescent="0.35">
      <c r="A306" s="3">
        <f t="shared" si="24"/>
        <v>44104</v>
      </c>
      <c r="B306" s="1">
        <v>0.41905886707324519</v>
      </c>
      <c r="C306" s="1">
        <f t="shared" si="23"/>
        <v>-5.2205878771317077E-2</v>
      </c>
      <c r="D306" s="1">
        <f t="shared" si="21"/>
        <v>0.41905886707324519</v>
      </c>
      <c r="E306" s="1">
        <f t="shared" si="20"/>
        <v>6.8873114722262971E-2</v>
      </c>
      <c r="F306" s="1">
        <f t="shared" si="21"/>
        <v>0.3501857523509822</v>
      </c>
      <c r="G306" s="1">
        <f t="shared" si="22"/>
        <v>-3.073862503446851E-2</v>
      </c>
      <c r="H306" s="1">
        <f t="shared" si="21"/>
        <v>0.3501857523509822</v>
      </c>
    </row>
    <row r="307" spans="1:8" x14ac:dyDescent="0.35">
      <c r="A307" s="3">
        <f t="shared" si="24"/>
        <v>44105</v>
      </c>
      <c r="B307" s="1">
        <v>0.50195505281761865</v>
      </c>
      <c r="C307" s="1">
        <f t="shared" si="23"/>
        <v>3.1497140915491169E-2</v>
      </c>
      <c r="D307" s="1">
        <f t="shared" si="21"/>
        <v>0.47045791190212749</v>
      </c>
      <c r="E307" s="1">
        <f t="shared" si="20"/>
        <v>0.12794021121087804</v>
      </c>
      <c r="F307" s="1">
        <f t="shared" si="21"/>
        <v>0.34251770069124943</v>
      </c>
      <c r="G307" s="1">
        <f t="shared" si="22"/>
        <v>-3.5813727879376173E-2</v>
      </c>
      <c r="H307" s="1">
        <f t="shared" si="21"/>
        <v>0.34251770069124943</v>
      </c>
    </row>
    <row r="308" spans="1:8" x14ac:dyDescent="0.35">
      <c r="A308" s="3">
        <f t="shared" si="24"/>
        <v>44106</v>
      </c>
      <c r="B308" s="1">
        <v>0.5133544800107056</v>
      </c>
      <c r="C308" s="1">
        <f t="shared" si="23"/>
        <v>4.0106804020175524E-2</v>
      </c>
      <c r="D308" s="1">
        <f t="shared" si="21"/>
        <v>0.47324767599053008</v>
      </c>
      <c r="E308" s="1">
        <f t="shared" si="20"/>
        <v>0.14121660448212489</v>
      </c>
      <c r="F308" s="1">
        <f t="shared" si="21"/>
        <v>0.33203107150840516</v>
      </c>
      <c r="G308" s="1">
        <f t="shared" si="22"/>
        <v>-4.3221078876910568E-2</v>
      </c>
      <c r="H308" s="1">
        <f t="shared" si="21"/>
        <v>0.33203107150840516</v>
      </c>
    </row>
    <row r="309" spans="1:8" x14ac:dyDescent="0.35">
      <c r="A309" s="3">
        <f t="shared" si="24"/>
        <v>44107</v>
      </c>
      <c r="B309" s="1">
        <v>0.52351120321377964</v>
      </c>
      <c r="C309" s="1">
        <f t="shared" si="23"/>
        <v>4.6874639801621126E-2</v>
      </c>
      <c r="D309" s="1">
        <f t="shared" si="21"/>
        <v>0.47663656341215854</v>
      </c>
      <c r="E309" s="1">
        <f t="shared" si="20"/>
        <v>0.15619287418966732</v>
      </c>
      <c r="F309" s="1">
        <f t="shared" si="21"/>
        <v>0.32044368922249122</v>
      </c>
      <c r="G309" s="1">
        <f t="shared" si="22"/>
        <v>-5.1132353411334444E-2</v>
      </c>
      <c r="H309" s="1">
        <f t="shared" si="21"/>
        <v>0.32044368922249122</v>
      </c>
    </row>
    <row r="310" spans="1:8" x14ac:dyDescent="0.35">
      <c r="A310" s="3">
        <f t="shared" si="24"/>
        <v>44108</v>
      </c>
      <c r="B310" s="1">
        <v>0.57216916438795229</v>
      </c>
      <c r="C310" s="1">
        <f t="shared" si="23"/>
        <v>9.0192329446640712E-2</v>
      </c>
      <c r="D310" s="1">
        <f t="shared" si="21"/>
        <v>0.4819768349413116</v>
      </c>
      <c r="E310" s="1">
        <f t="shared" si="20"/>
        <v>0.17441393030970501</v>
      </c>
      <c r="F310" s="1">
        <f t="shared" si="21"/>
        <v>0.30756290463160663</v>
      </c>
      <c r="G310" s="1">
        <f t="shared" si="22"/>
        <v>-5.969518207421079E-2</v>
      </c>
      <c r="H310" s="1">
        <f t="shared" si="21"/>
        <v>0.30756290463160663</v>
      </c>
    </row>
    <row r="311" spans="1:8" x14ac:dyDescent="0.35">
      <c r="A311" s="3">
        <f t="shared" si="24"/>
        <v>44109</v>
      </c>
      <c r="B311" s="1">
        <v>0.40631697721469795</v>
      </c>
      <c r="C311" s="1">
        <f t="shared" si="23"/>
        <v>-7.6204825416114633E-2</v>
      </c>
      <c r="D311" s="1">
        <f t="shared" si="21"/>
        <v>0.40631697721469795</v>
      </c>
      <c r="E311" s="1">
        <f t="shared" si="20"/>
        <v>0.10982845107874525</v>
      </c>
      <c r="F311" s="1">
        <f t="shared" si="21"/>
        <v>0.29648852613595267</v>
      </c>
      <c r="G311" s="1">
        <f t="shared" si="22"/>
        <v>-6.5877132720711912E-2</v>
      </c>
      <c r="H311" s="1">
        <f t="shared" si="21"/>
        <v>0.29648852613595267</v>
      </c>
    </row>
    <row r="312" spans="1:8" x14ac:dyDescent="0.35">
      <c r="A312" s="3">
        <f t="shared" si="24"/>
        <v>44110</v>
      </c>
      <c r="B312" s="1">
        <v>0.36799375646975702</v>
      </c>
      <c r="C312" s="1">
        <f t="shared" si="23"/>
        <v>-0.10737556347691168</v>
      </c>
      <c r="D312" s="1">
        <f t="shared" si="21"/>
        <v>0.36799375646975702</v>
      </c>
      <c r="E312" s="1">
        <f t="shared" si="20"/>
        <v>7.8856595796475248E-2</v>
      </c>
      <c r="F312" s="1">
        <f t="shared" si="21"/>
        <v>0.28913716067328177</v>
      </c>
      <c r="G312" s="1">
        <f t="shared" si="22"/>
        <v>-6.8012037024479263E-2</v>
      </c>
      <c r="H312" s="1">
        <f t="shared" si="21"/>
        <v>0.28913716067328177</v>
      </c>
    </row>
    <row r="313" spans="1:8" x14ac:dyDescent="0.35">
      <c r="A313" s="3">
        <f t="shared" si="24"/>
        <v>44111</v>
      </c>
      <c r="B313" s="1">
        <v>0.29525566108689194</v>
      </c>
      <c r="C313" s="1">
        <f t="shared" si="23"/>
        <v>-0.16933281302215097</v>
      </c>
      <c r="D313" s="1">
        <f t="shared" si="21"/>
        <v>0.29525566108689194</v>
      </c>
      <c r="E313" s="1">
        <f t="shared" si="20"/>
        <v>9.5634367464514716E-3</v>
      </c>
      <c r="F313" s="1">
        <f t="shared" si="21"/>
        <v>0.28569222434044045</v>
      </c>
      <c r="G313" s="1">
        <f t="shared" si="22"/>
        <v>-6.622688546800308E-2</v>
      </c>
      <c r="H313" s="1">
        <f t="shared" si="21"/>
        <v>0.28569222434044045</v>
      </c>
    </row>
    <row r="314" spans="1:8" x14ac:dyDescent="0.35">
      <c r="A314" s="3">
        <f t="shared" si="24"/>
        <v>44112</v>
      </c>
      <c r="B314" s="1">
        <v>0.23703072738863598</v>
      </c>
      <c r="C314" s="1">
        <f t="shared" si="23"/>
        <v>-0.21267435073006102</v>
      </c>
      <c r="D314" s="1">
        <f t="shared" si="21"/>
        <v>0.23703072738863598</v>
      </c>
      <c r="E314" s="1">
        <f t="shared" si="20"/>
        <v>-5.0246553446616091E-2</v>
      </c>
      <c r="F314" s="1">
        <f t="shared" si="21"/>
        <v>0.23703072738863598</v>
      </c>
      <c r="G314" s="1">
        <f t="shared" si="22"/>
        <v>-0.10809655987401465</v>
      </c>
      <c r="H314" s="1">
        <f t="shared" si="21"/>
        <v>0.23703072738863598</v>
      </c>
    </row>
    <row r="315" spans="1:8" x14ac:dyDescent="0.35">
      <c r="A315" s="3">
        <f t="shared" si="24"/>
        <v>44113</v>
      </c>
      <c r="B315" s="1">
        <v>0.24422187812367782</v>
      </c>
      <c r="C315" s="1">
        <f t="shared" si="23"/>
        <v>-0.18980229184282868</v>
      </c>
      <c r="D315" s="1">
        <f t="shared" si="21"/>
        <v>0.24422187812367782</v>
      </c>
      <c r="E315" s="1">
        <f t="shared" si="20"/>
        <v>-4.6837914447717094E-2</v>
      </c>
      <c r="F315" s="1">
        <f t="shared" si="21"/>
        <v>0.24422187812367782</v>
      </c>
      <c r="G315" s="1">
        <f t="shared" si="22"/>
        <v>-9.306783530098578E-2</v>
      </c>
      <c r="H315" s="1">
        <f t="shared" si="21"/>
        <v>0.24422187812367782</v>
      </c>
    </row>
    <row r="316" spans="1:8" x14ac:dyDescent="0.35">
      <c r="A316" s="3">
        <f t="shared" si="24"/>
        <v>44114</v>
      </c>
      <c r="B316" s="1">
        <v>0.23607057171261811</v>
      </c>
      <c r="C316" s="1">
        <f t="shared" si="23"/>
        <v>-0.18341275237526153</v>
      </c>
      <c r="D316" s="1">
        <f t="shared" si="21"/>
        <v>0.23607057171261811</v>
      </c>
      <c r="E316" s="1">
        <f t="shared" si="20"/>
        <v>-5.9117347965796832E-2</v>
      </c>
      <c r="F316" s="1">
        <f t="shared" si="21"/>
        <v>0.23607057171261811</v>
      </c>
      <c r="G316" s="1">
        <f t="shared" si="22"/>
        <v>-9.3933380074056813E-2</v>
      </c>
      <c r="H316" s="1">
        <f t="shared" si="21"/>
        <v>0.23607057171261811</v>
      </c>
    </row>
    <row r="317" spans="1:8" x14ac:dyDescent="0.35">
      <c r="A317" s="3">
        <f t="shared" si="24"/>
        <v>44115</v>
      </c>
      <c r="B317" s="1">
        <v>0.23286488400760766</v>
      </c>
      <c r="C317" s="1">
        <f t="shared" si="23"/>
        <v>-0.17274227036318948</v>
      </c>
      <c r="D317" s="1">
        <f t="shared" si="21"/>
        <v>0.23286488400760766</v>
      </c>
      <c r="E317" s="1">
        <f t="shared" si="20"/>
        <v>-6.724629446688582E-2</v>
      </c>
      <c r="F317" s="1">
        <f t="shared" si="21"/>
        <v>0.23286488400760766</v>
      </c>
      <c r="G317" s="1">
        <f t="shared" si="22"/>
        <v>-8.997385098457511E-2</v>
      </c>
      <c r="H317" s="1">
        <f t="shared" si="21"/>
        <v>0.23286488400760766</v>
      </c>
    </row>
    <row r="318" spans="1:8" x14ac:dyDescent="0.35">
      <c r="A318" s="3">
        <f t="shared" si="24"/>
        <v>44116</v>
      </c>
      <c r="B318" s="1">
        <v>0.36493024175159411</v>
      </c>
      <c r="C318" s="1">
        <f t="shared" si="23"/>
        <v>-3.2673693257363301E-2</v>
      </c>
      <c r="D318" s="1">
        <f t="shared" si="21"/>
        <v>0.36493024175159411</v>
      </c>
      <c r="E318" s="1">
        <f t="shared" si="20"/>
        <v>6.4720662012649893E-2</v>
      </c>
      <c r="F318" s="1">
        <f t="shared" si="21"/>
        <v>0.30020957973894424</v>
      </c>
      <c r="G318" s="1">
        <f t="shared" si="22"/>
        <v>-1.8406542519320515E-2</v>
      </c>
      <c r="H318" s="1">
        <f t="shared" si="21"/>
        <v>0.30020957973894424</v>
      </c>
    </row>
    <row r="319" spans="1:8" x14ac:dyDescent="0.35">
      <c r="A319" s="3">
        <f t="shared" si="24"/>
        <v>44117</v>
      </c>
      <c r="B319" s="1">
        <v>0.27026438798393854</v>
      </c>
      <c r="C319" s="1">
        <f t="shared" si="23"/>
        <v>-0.12133905051442954</v>
      </c>
      <c r="D319" s="1">
        <f t="shared" si="21"/>
        <v>0.27026438798393854</v>
      </c>
      <c r="E319" s="1">
        <f t="shared" si="20"/>
        <v>-2.8535375393209297E-2</v>
      </c>
      <c r="F319" s="1">
        <f t="shared" si="21"/>
        <v>0.27026438798393854</v>
      </c>
      <c r="G319" s="1">
        <f t="shared" si="22"/>
        <v>-4.5848298894564474E-2</v>
      </c>
      <c r="H319" s="1">
        <f t="shared" si="21"/>
        <v>0.27026438798393854</v>
      </c>
    </row>
    <row r="320" spans="1:8" x14ac:dyDescent="0.35">
      <c r="A320" s="3">
        <f t="shared" si="24"/>
        <v>44118</v>
      </c>
      <c r="B320" s="1">
        <v>0.2462260632114964</v>
      </c>
      <c r="C320" s="1">
        <f t="shared" si="23"/>
        <v>-0.13537550931932291</v>
      </c>
      <c r="D320" s="1">
        <f t="shared" si="21"/>
        <v>0.2462260632114964</v>
      </c>
      <c r="E320" s="1">
        <f t="shared" si="20"/>
        <v>-5.5861905931551194E-2</v>
      </c>
      <c r="F320" s="1">
        <f t="shared" si="21"/>
        <v>0.2462260632114964</v>
      </c>
      <c r="G320" s="1">
        <f t="shared" si="22"/>
        <v>-6.5546564070947694E-2</v>
      </c>
      <c r="H320" s="1">
        <f t="shared" si="21"/>
        <v>0.2462260632114964</v>
      </c>
    </row>
    <row r="321" spans="1:8" x14ac:dyDescent="0.35">
      <c r="A321" s="3">
        <f t="shared" si="24"/>
        <v>44119</v>
      </c>
      <c r="B321" s="1">
        <v>0.2372886968080368</v>
      </c>
      <c r="C321" s="1">
        <f t="shared" si="23"/>
        <v>-0.13382456128370357</v>
      </c>
      <c r="D321" s="1">
        <f t="shared" si="21"/>
        <v>0.2372886968080368</v>
      </c>
      <c r="E321" s="1">
        <f t="shared" si="20"/>
        <v>-6.9690941724195737E-2</v>
      </c>
      <c r="F321" s="1">
        <f t="shared" si="21"/>
        <v>0.2372886968080368</v>
      </c>
      <c r="G321" s="1">
        <f t="shared" si="22"/>
        <v>-6.9232786928956486E-2</v>
      </c>
      <c r="H321" s="1">
        <f t="shared" si="21"/>
        <v>0.2372886968080368</v>
      </c>
    </row>
    <row r="322" spans="1:8" x14ac:dyDescent="0.35">
      <c r="A322" s="3">
        <f t="shared" si="24"/>
        <v>44120</v>
      </c>
      <c r="B322" s="1">
        <v>0.22871083625605318</v>
      </c>
      <c r="C322" s="1">
        <f t="shared" si="23"/>
        <v>-0.13204390996871004</v>
      </c>
      <c r="D322" s="1">
        <f t="shared" si="21"/>
        <v>0.22871083625605318</v>
      </c>
      <c r="E322" s="1">
        <f t="shared" si="20"/>
        <v>-8.4267170276194556E-2</v>
      </c>
      <c r="F322" s="1">
        <f t="shared" si="21"/>
        <v>0.22871083625605318</v>
      </c>
      <c r="G322" s="1">
        <f t="shared" si="22"/>
        <v>-7.2296518690568981E-2</v>
      </c>
      <c r="H322" s="1">
        <f t="shared" si="21"/>
        <v>0.22871083625605318</v>
      </c>
    </row>
    <row r="323" spans="1:8" x14ac:dyDescent="0.35">
      <c r="A323" s="3">
        <f t="shared" si="24"/>
        <v>44121</v>
      </c>
      <c r="B323" s="1">
        <v>0.22162108463524047</v>
      </c>
      <c r="C323" s="1">
        <f t="shared" si="23"/>
        <v>-0.12896450265608903</v>
      </c>
      <c r="D323" s="1">
        <f t="shared" si="21"/>
        <v>0.22162108463524047</v>
      </c>
      <c r="E323" s="1">
        <f t="shared" ref="E323:E386" si="25">alpha*E324+(1+alpha)/2*(D323-D324)</f>
        <v>-9.8476817525650573E-2</v>
      </c>
      <c r="F323" s="1">
        <f t="shared" si="21"/>
        <v>0.22162108463524047</v>
      </c>
      <c r="G323" s="1">
        <f t="shared" si="22"/>
        <v>-7.3698165723808551E-2</v>
      </c>
      <c r="H323" s="1">
        <f t="shared" si="21"/>
        <v>0.22162108463524047</v>
      </c>
    </row>
    <row r="324" spans="1:8" x14ac:dyDescent="0.35">
      <c r="A324" s="3">
        <f t="shared" si="24"/>
        <v>44122</v>
      </c>
      <c r="B324" s="1">
        <v>0.3289873127095661</v>
      </c>
      <c r="C324" s="1">
        <f t="shared" si="23"/>
        <v>-1.5952170435343929E-2</v>
      </c>
      <c r="D324" s="1">
        <f t="shared" ref="D324:H387" si="26">B324-MAX(0,C324)</f>
        <v>0.3289873127095661</v>
      </c>
      <c r="E324" s="1">
        <f t="shared" si="25"/>
        <v>5.2574886442030844E-3</v>
      </c>
      <c r="F324" s="1">
        <f t="shared" si="26"/>
        <v>0.32372982406536299</v>
      </c>
      <c r="G324" s="1">
        <f t="shared" ref="G324:G387" si="27">alpha*G323+(1+alpha)/2*(F324-F323)</f>
        <v>3.0108858406970029E-2</v>
      </c>
      <c r="H324" s="1">
        <f t="shared" si="26"/>
        <v>0.29362096565839296</v>
      </c>
    </row>
    <row r="325" spans="1:8" x14ac:dyDescent="0.35">
      <c r="A325" s="3">
        <f t="shared" si="24"/>
        <v>44123</v>
      </c>
      <c r="B325" s="1">
        <v>0.25721216787316942</v>
      </c>
      <c r="C325" s="1">
        <f t="shared" ref="C325:C388" si="28">alpha*C324+(1+alpha)/2*(B325-B324)</f>
        <v>-8.3839334557724937E-2</v>
      </c>
      <c r="D325" s="1">
        <f t="shared" si="26"/>
        <v>0.25721216787316942</v>
      </c>
      <c r="E325" s="1">
        <f t="shared" si="25"/>
        <v>-6.9001176498193206E-2</v>
      </c>
      <c r="F325" s="1">
        <f t="shared" si="26"/>
        <v>0.25721216787316942</v>
      </c>
      <c r="G325" s="1">
        <f t="shared" si="27"/>
        <v>-3.6172550058539039E-2</v>
      </c>
      <c r="H325" s="1">
        <f t="shared" si="26"/>
        <v>0.25721216787316942</v>
      </c>
    </row>
    <row r="326" spans="1:8" x14ac:dyDescent="0.35">
      <c r="A326" s="3">
        <f t="shared" si="24"/>
        <v>44124</v>
      </c>
      <c r="B326" s="1">
        <v>0.22374377582606519</v>
      </c>
      <c r="C326" s="1">
        <f t="shared" si="28"/>
        <v>-0.10976471181123339</v>
      </c>
      <c r="D326" s="1">
        <f t="shared" si="26"/>
        <v>0.22374377582606519</v>
      </c>
      <c r="E326" s="1">
        <f t="shared" si="25"/>
        <v>-0.10942108523624974</v>
      </c>
      <c r="F326" s="1">
        <f t="shared" si="26"/>
        <v>0.22374377582606519</v>
      </c>
      <c r="G326" s="1">
        <f t="shared" si="27"/>
        <v>-6.5672936149486424E-2</v>
      </c>
      <c r="H326" s="1">
        <f t="shared" si="26"/>
        <v>0.22374377582606519</v>
      </c>
    </row>
    <row r="327" spans="1:8" x14ac:dyDescent="0.35">
      <c r="A327" s="3">
        <f t="shared" si="24"/>
        <v>44125</v>
      </c>
      <c r="B327" s="1">
        <v>0.27407134929023297</v>
      </c>
      <c r="C327" s="1">
        <f t="shared" si="28"/>
        <v>-5.3092068966129412E-2</v>
      </c>
      <c r="D327" s="1">
        <f t="shared" si="26"/>
        <v>0.27407134929023297</v>
      </c>
      <c r="E327" s="1">
        <f t="shared" si="25"/>
        <v>-6.5925184623771102E-2</v>
      </c>
      <c r="F327" s="1">
        <f t="shared" si="26"/>
        <v>0.27407134929023297</v>
      </c>
      <c r="G327" s="1">
        <f t="shared" si="27"/>
        <v>-1.2307176479013464E-2</v>
      </c>
      <c r="H327" s="1">
        <f t="shared" si="26"/>
        <v>0.27407134929023297</v>
      </c>
    </row>
    <row r="328" spans="1:8" x14ac:dyDescent="0.35">
      <c r="A328" s="3">
        <f t="shared" si="24"/>
        <v>44126</v>
      </c>
      <c r="B328" s="1">
        <v>1.1475482027824273</v>
      </c>
      <c r="C328" s="1">
        <f t="shared" si="28"/>
        <v>0.79161130769256738</v>
      </c>
      <c r="D328" s="1">
        <f t="shared" si="26"/>
        <v>0.35593689508985993</v>
      </c>
      <c r="E328" s="1">
        <f t="shared" si="25"/>
        <v>1.3913949414453897E-2</v>
      </c>
      <c r="F328" s="1">
        <f t="shared" si="26"/>
        <v>0.34202294567540603</v>
      </c>
      <c r="G328" s="1">
        <f t="shared" si="27"/>
        <v>5.4019273277641625E-2</v>
      </c>
      <c r="H328" s="1">
        <f t="shared" si="26"/>
        <v>0.28800367239776442</v>
      </c>
    </row>
    <row r="329" spans="1:8" x14ac:dyDescent="0.35">
      <c r="A329" s="3">
        <f t="shared" si="24"/>
        <v>44127</v>
      </c>
      <c r="B329" s="1">
        <v>1.0980834525706926</v>
      </c>
      <c r="C329" s="1">
        <f t="shared" si="28"/>
        <v>0.68463063753683029</v>
      </c>
      <c r="D329" s="1">
        <f t="shared" si="26"/>
        <v>0.41345281503386233</v>
      </c>
      <c r="E329" s="1">
        <f t="shared" si="25"/>
        <v>7.4889753903304018E-2</v>
      </c>
      <c r="F329" s="1">
        <f t="shared" si="26"/>
        <v>0.33856306113055834</v>
      </c>
      <c r="G329" s="1">
        <f t="shared" si="27"/>
        <v>4.6637688907402601E-2</v>
      </c>
      <c r="H329" s="1">
        <f t="shared" si="26"/>
        <v>0.29192537222315573</v>
      </c>
    </row>
    <row r="330" spans="1:8" x14ac:dyDescent="0.35">
      <c r="A330" s="3">
        <f t="shared" si="24"/>
        <v>44128</v>
      </c>
      <c r="B330" s="1">
        <v>0.65500366255889508</v>
      </c>
      <c r="C330" s="1">
        <f t="shared" si="28"/>
        <v>0.20681904183521288</v>
      </c>
      <c r="D330" s="1">
        <f t="shared" si="26"/>
        <v>0.4481846207236822</v>
      </c>
      <c r="E330" s="1">
        <f t="shared" si="25"/>
        <v>0.11710174797811419</v>
      </c>
      <c r="F330" s="1">
        <f t="shared" si="26"/>
        <v>0.33108287274556802</v>
      </c>
      <c r="G330" s="1">
        <f t="shared" si="27"/>
        <v>3.594018091879423E-2</v>
      </c>
      <c r="H330" s="1">
        <f t="shared" si="26"/>
        <v>0.29514269182677377</v>
      </c>
    </row>
    <row r="331" spans="1:8" x14ac:dyDescent="0.35">
      <c r="A331" s="3">
        <f t="shared" si="24"/>
        <v>44129</v>
      </c>
      <c r="B331" s="1">
        <v>0.45263634384371337</v>
      </c>
      <c r="C331" s="1">
        <f t="shared" si="28"/>
        <v>-3.470930565790481E-3</v>
      </c>
      <c r="D331" s="1">
        <f t="shared" si="26"/>
        <v>0.45263634384371337</v>
      </c>
      <c r="E331" s="1">
        <f t="shared" si="25"/>
        <v>0.13122868268231805</v>
      </c>
      <c r="F331" s="1">
        <f t="shared" si="26"/>
        <v>0.3214076611613953</v>
      </c>
      <c r="G331" s="1">
        <f t="shared" si="27"/>
        <v>2.393227620011841E-2</v>
      </c>
      <c r="H331" s="1">
        <f t="shared" si="26"/>
        <v>0.2974753849612769</v>
      </c>
    </row>
    <row r="332" spans="1:8" x14ac:dyDescent="0.35">
      <c r="A332" s="3">
        <f t="shared" si="24"/>
        <v>44130</v>
      </c>
      <c r="B332" s="1">
        <v>0.40667036581002991</v>
      </c>
      <c r="C332" s="1">
        <f t="shared" si="28"/>
        <v>-4.7452864630776526E-2</v>
      </c>
      <c r="D332" s="1">
        <f t="shared" si="26"/>
        <v>0.40667036581002991</v>
      </c>
      <c r="E332" s="1">
        <f t="shared" si="25"/>
        <v>9.4039382513402936E-2</v>
      </c>
      <c r="F332" s="1">
        <f t="shared" si="26"/>
        <v>0.31263098329662697</v>
      </c>
      <c r="G332" s="1">
        <f t="shared" si="27"/>
        <v>1.3689803040270019E-2</v>
      </c>
      <c r="H332" s="1">
        <f t="shared" si="26"/>
        <v>0.29894118025635696</v>
      </c>
    </row>
    <row r="333" spans="1:8" x14ac:dyDescent="0.35">
      <c r="A333" s="3">
        <f t="shared" si="24"/>
        <v>44131</v>
      </c>
      <c r="B333" s="1">
        <v>0.3885607170470331</v>
      </c>
      <c r="C333" s="1">
        <f t="shared" si="28"/>
        <v>-6.1324436717852718E-2</v>
      </c>
      <c r="D333" s="1">
        <f t="shared" si="26"/>
        <v>0.3885607170470331</v>
      </c>
      <c r="E333" s="1">
        <f t="shared" si="25"/>
        <v>8.2820373598938929E-2</v>
      </c>
      <c r="F333" s="1">
        <f t="shared" si="26"/>
        <v>0.3057403434480942</v>
      </c>
      <c r="G333" s="1">
        <f t="shared" si="27"/>
        <v>6.0308269580369705E-3</v>
      </c>
      <c r="H333" s="1">
        <f t="shared" si="26"/>
        <v>0.29970951649005723</v>
      </c>
    </row>
    <row r="334" spans="1:8" x14ac:dyDescent="0.35">
      <c r="A334" s="3">
        <f t="shared" si="24"/>
        <v>44132</v>
      </c>
      <c r="B334" s="1">
        <v>0.34515003045654086</v>
      </c>
      <c r="C334" s="1">
        <f t="shared" si="28"/>
        <v>-9.8507889807362553E-2</v>
      </c>
      <c r="D334" s="1">
        <f t="shared" si="26"/>
        <v>0.34515003045654086</v>
      </c>
      <c r="E334" s="1">
        <f t="shared" si="25"/>
        <v>4.4364959735773132E-2</v>
      </c>
      <c r="F334" s="1">
        <f t="shared" si="26"/>
        <v>0.30078507072076771</v>
      </c>
      <c r="G334" s="1">
        <f t="shared" si="27"/>
        <v>8.0906493613245364E-4</v>
      </c>
      <c r="H334" s="1">
        <f t="shared" si="26"/>
        <v>0.29997600578463524</v>
      </c>
    </row>
    <row r="335" spans="1:8" x14ac:dyDescent="0.35">
      <c r="A335" s="3">
        <f t="shared" si="24"/>
        <v>44133</v>
      </c>
      <c r="B335" s="1">
        <v>0.33345007809440869</v>
      </c>
      <c r="C335" s="1">
        <f t="shared" si="28"/>
        <v>-0.10238100222036257</v>
      </c>
      <c r="D335" s="1">
        <f t="shared" si="26"/>
        <v>0.33345007809440869</v>
      </c>
      <c r="E335" s="1">
        <f t="shared" si="25"/>
        <v>3.5787843878076667E-2</v>
      </c>
      <c r="F335" s="1">
        <f t="shared" si="26"/>
        <v>0.29766223421633203</v>
      </c>
      <c r="G335" s="1">
        <f t="shared" si="27"/>
        <v>-2.2573450695968205E-3</v>
      </c>
      <c r="H335" s="1">
        <f t="shared" si="26"/>
        <v>0.29766223421633203</v>
      </c>
    </row>
    <row r="336" spans="1:8" x14ac:dyDescent="0.35">
      <c r="A336" s="3">
        <f t="shared" si="24"/>
        <v>44134</v>
      </c>
      <c r="B336" s="1">
        <v>0.32397075206082859</v>
      </c>
      <c r="C336" s="1">
        <f t="shared" si="28"/>
        <v>-0.10382627836115622</v>
      </c>
      <c r="D336" s="1">
        <f t="shared" si="26"/>
        <v>0.32397075206082859</v>
      </c>
      <c r="E336" s="1">
        <f t="shared" si="25"/>
        <v>2.8825937914330624E-2</v>
      </c>
      <c r="F336" s="1">
        <f t="shared" si="26"/>
        <v>0.29514481414649796</v>
      </c>
      <c r="G336" s="1">
        <f t="shared" si="27"/>
        <v>-4.5110610065923571E-3</v>
      </c>
      <c r="H336" s="1">
        <f t="shared" si="26"/>
        <v>0.29514481414649796</v>
      </c>
    </row>
    <row r="337" spans="1:8" x14ac:dyDescent="0.35">
      <c r="A337" s="3">
        <f t="shared" si="24"/>
        <v>44135</v>
      </c>
      <c r="B337" s="1">
        <v>0.31776041495243507</v>
      </c>
      <c r="C337" s="1">
        <f t="shared" si="28"/>
        <v>-0.10201675695089828</v>
      </c>
      <c r="D337" s="1">
        <f t="shared" si="26"/>
        <v>0.31776041495243507</v>
      </c>
      <c r="E337" s="1">
        <f t="shared" si="25"/>
        <v>2.4701068591893898E-2</v>
      </c>
      <c r="F337" s="1">
        <f t="shared" si="26"/>
        <v>0.29305934636054115</v>
      </c>
      <c r="G337" s="1">
        <f t="shared" si="27"/>
        <v>-6.1799941750813577E-3</v>
      </c>
      <c r="H337" s="1">
        <f t="shared" si="26"/>
        <v>0.29305934636054115</v>
      </c>
    </row>
    <row r="338" spans="1:8" x14ac:dyDescent="0.35">
      <c r="A338" s="3">
        <f t="shared" si="24"/>
        <v>44136</v>
      </c>
      <c r="B338" s="1">
        <v>0.29685431004512841</v>
      </c>
      <c r="C338" s="1">
        <f t="shared" si="28"/>
        <v>-0.11448762615286356</v>
      </c>
      <c r="D338" s="1">
        <f t="shared" si="26"/>
        <v>0.29685431004512841</v>
      </c>
      <c r="E338" s="1">
        <f t="shared" si="25"/>
        <v>4.9502082363364775E-3</v>
      </c>
      <c r="F338" s="1">
        <f t="shared" si="26"/>
        <v>0.29190410180879195</v>
      </c>
      <c r="G338" s="1">
        <f t="shared" si="27"/>
        <v>-6.8284174930088627E-3</v>
      </c>
      <c r="H338" s="1">
        <f t="shared" si="26"/>
        <v>0.29190410180879195</v>
      </c>
    </row>
    <row r="339" spans="1:8" x14ac:dyDescent="0.35">
      <c r="A339" s="3">
        <f t="shared" si="24"/>
        <v>44137</v>
      </c>
      <c r="B339" s="1">
        <v>0.31050454104141573</v>
      </c>
      <c r="C339" s="1">
        <f t="shared" si="28"/>
        <v>-9.276270685747226E-2</v>
      </c>
      <c r="D339" s="1">
        <f t="shared" si="26"/>
        <v>0.31050454104141573</v>
      </c>
      <c r="E339" s="1">
        <f t="shared" si="25"/>
        <v>1.9555195211095156E-2</v>
      </c>
      <c r="F339" s="1">
        <f t="shared" si="26"/>
        <v>0.29094934583032056</v>
      </c>
      <c r="G339" s="1">
        <f t="shared" si="27"/>
        <v>-7.2352388103119093E-3</v>
      </c>
      <c r="H339" s="1">
        <f t="shared" si="26"/>
        <v>0.29094934583032056</v>
      </c>
    </row>
    <row r="340" spans="1:8" x14ac:dyDescent="0.35">
      <c r="A340" s="3">
        <f t="shared" si="24"/>
        <v>44138</v>
      </c>
      <c r="B340" s="1">
        <v>0.29753032471424068</v>
      </c>
      <c r="C340" s="1">
        <f t="shared" si="28"/>
        <v>-9.8293187058067832E-2</v>
      </c>
      <c r="D340" s="1">
        <f t="shared" si="26"/>
        <v>0.29753032471424068</v>
      </c>
      <c r="E340" s="1">
        <f t="shared" si="25"/>
        <v>7.6405535093936995E-3</v>
      </c>
      <c r="F340" s="1">
        <f t="shared" si="26"/>
        <v>0.28988977120484699</v>
      </c>
      <c r="G340" s="1">
        <f t="shared" si="27"/>
        <v>-7.7124364765568275E-3</v>
      </c>
      <c r="H340" s="1">
        <f t="shared" si="26"/>
        <v>0.28988977120484699</v>
      </c>
    </row>
    <row r="341" spans="1:8" x14ac:dyDescent="0.35">
      <c r="A341" s="3">
        <f t="shared" si="24"/>
        <v>44139</v>
      </c>
      <c r="B341" s="1">
        <v>0.29834160976542823</v>
      </c>
      <c r="C341" s="1">
        <f t="shared" si="28"/>
        <v>-9.0140336166944737E-2</v>
      </c>
      <c r="D341" s="1">
        <f t="shared" si="26"/>
        <v>0.29834160976542823</v>
      </c>
      <c r="E341" s="1">
        <f t="shared" si="25"/>
        <v>9.1042328336883409E-3</v>
      </c>
      <c r="F341" s="1">
        <f t="shared" si="26"/>
        <v>0.2892373769317399</v>
      </c>
      <c r="G341" s="1">
        <f t="shared" si="27"/>
        <v>-7.7619332286806425E-3</v>
      </c>
      <c r="H341" s="1">
        <f t="shared" si="26"/>
        <v>0.2892373769317399</v>
      </c>
    </row>
    <row r="342" spans="1:8" x14ac:dyDescent="0.35">
      <c r="A342" s="3">
        <f t="shared" si="24"/>
        <v>44140</v>
      </c>
      <c r="B342" s="1">
        <v>0.26777806874876159</v>
      </c>
      <c r="C342" s="1">
        <f t="shared" si="28"/>
        <v>-0.11279721918296554</v>
      </c>
      <c r="D342" s="1">
        <f t="shared" si="26"/>
        <v>0.26777806874876159</v>
      </c>
      <c r="E342" s="1">
        <f t="shared" si="25"/>
        <v>-2.1960189616057623E-2</v>
      </c>
      <c r="F342" s="1">
        <f t="shared" si="26"/>
        <v>0.26777806874876159</v>
      </c>
      <c r="G342" s="1">
        <f t="shared" si="27"/>
        <v>-2.7834372362646218E-2</v>
      </c>
      <c r="H342" s="1">
        <f t="shared" si="26"/>
        <v>0.26777806874876159</v>
      </c>
    </row>
    <row r="343" spans="1:8" x14ac:dyDescent="0.35">
      <c r="A343" s="3">
        <f t="shared" si="24"/>
        <v>44141</v>
      </c>
      <c r="B343" s="1">
        <v>0.26827838741962612</v>
      </c>
      <c r="C343" s="1">
        <f t="shared" si="28"/>
        <v>-0.10385587102353601</v>
      </c>
      <c r="D343" s="1">
        <f t="shared" si="26"/>
        <v>0.26827838741962612</v>
      </c>
      <c r="E343" s="1">
        <f t="shared" si="25"/>
        <v>-2.3220143670649201E-2</v>
      </c>
      <c r="F343" s="1">
        <f t="shared" si="26"/>
        <v>0.26827838741962612</v>
      </c>
      <c r="G343" s="1">
        <f t="shared" si="27"/>
        <v>-2.5265237714740645E-2</v>
      </c>
      <c r="H343" s="1">
        <f t="shared" si="26"/>
        <v>0.26827838741962612</v>
      </c>
    </row>
    <row r="344" spans="1:8" x14ac:dyDescent="0.35">
      <c r="A344" s="3">
        <f t="shared" si="24"/>
        <v>44142</v>
      </c>
      <c r="B344" s="1">
        <v>0.24552599957060126</v>
      </c>
      <c r="C344" s="1">
        <f t="shared" si="28"/>
        <v>-0.11796585400145723</v>
      </c>
      <c r="D344" s="1">
        <f t="shared" si="26"/>
        <v>0.24552599957060126</v>
      </c>
      <c r="E344" s="1">
        <f t="shared" si="25"/>
        <v>-4.8777639973335812E-2</v>
      </c>
      <c r="F344" s="1">
        <f t="shared" si="26"/>
        <v>0.24552599957060126</v>
      </c>
      <c r="G344" s="1">
        <f t="shared" si="27"/>
        <v>-4.5269518190821527E-2</v>
      </c>
      <c r="H344" s="1">
        <f t="shared" si="26"/>
        <v>0.24552599957060126</v>
      </c>
    </row>
    <row r="345" spans="1:8" x14ac:dyDescent="0.35">
      <c r="A345" s="3">
        <f t="shared" si="24"/>
        <v>44143</v>
      </c>
      <c r="B345" s="1">
        <v>0.2734559832429902</v>
      </c>
      <c r="C345" s="1">
        <f t="shared" si="28"/>
        <v>-8.2235805666673586E-2</v>
      </c>
      <c r="D345" s="1">
        <f t="shared" si="26"/>
        <v>0.2734559832429902</v>
      </c>
      <c r="E345" s="1">
        <f t="shared" si="25"/>
        <v>-2.3670303447201571E-2</v>
      </c>
      <c r="F345" s="1">
        <f t="shared" si="26"/>
        <v>0.2734559832429902</v>
      </c>
      <c r="G345" s="1">
        <f t="shared" si="27"/>
        <v>-1.4991695041835562E-2</v>
      </c>
      <c r="H345" s="1">
        <f t="shared" si="26"/>
        <v>0.2734559832429902</v>
      </c>
    </row>
    <row r="346" spans="1:8" x14ac:dyDescent="0.35">
      <c r="A346" s="3">
        <f t="shared" si="24"/>
        <v>44144</v>
      </c>
      <c r="B346" s="1">
        <v>0.23935474992464531</v>
      </c>
      <c r="C346" s="1">
        <f t="shared" si="28"/>
        <v>-0.10889055731058003</v>
      </c>
      <c r="D346" s="1">
        <f t="shared" si="26"/>
        <v>0.23935474992464531</v>
      </c>
      <c r="E346" s="1">
        <f t="shared" si="25"/>
        <v>-6.107323299038759E-2</v>
      </c>
      <c r="F346" s="1">
        <f t="shared" si="26"/>
        <v>0.23935474992464531</v>
      </c>
      <c r="G346" s="1">
        <f t="shared" si="27"/>
        <v>-4.6689754982604845E-2</v>
      </c>
      <c r="H346" s="1">
        <f t="shared" si="26"/>
        <v>0.23935474992464531</v>
      </c>
    </row>
    <row r="347" spans="1:8" x14ac:dyDescent="0.35">
      <c r="A347" s="3">
        <f t="shared" si="24"/>
        <v>44145</v>
      </c>
      <c r="B347" s="1">
        <v>0.30120557325810349</v>
      </c>
      <c r="C347" s="1">
        <f t="shared" si="28"/>
        <v>-4.1192348053833046E-2</v>
      </c>
      <c r="D347" s="1">
        <f t="shared" si="26"/>
        <v>0.30120557325810349</v>
      </c>
      <c r="E347" s="1">
        <f t="shared" si="25"/>
        <v>-1.6668276020909128E-3</v>
      </c>
      <c r="F347" s="1">
        <f t="shared" si="26"/>
        <v>0.30120557325810349</v>
      </c>
      <c r="G347" s="1">
        <f t="shared" si="27"/>
        <v>1.6343394099544009E-2</v>
      </c>
      <c r="H347" s="1">
        <f t="shared" si="26"/>
        <v>0.28486217915855949</v>
      </c>
    </row>
    <row r="348" spans="1:8" x14ac:dyDescent="0.35">
      <c r="A348" s="3">
        <f t="shared" si="24"/>
        <v>44146</v>
      </c>
      <c r="B348" s="1">
        <v>0.31377388490559138</v>
      </c>
      <c r="C348" s="1">
        <f t="shared" si="28"/>
        <v>-2.6005921989088465E-2</v>
      </c>
      <c r="D348" s="1">
        <f t="shared" si="26"/>
        <v>0.31377388490559138</v>
      </c>
      <c r="E348" s="1">
        <f t="shared" si="25"/>
        <v>1.1275862009314797E-2</v>
      </c>
      <c r="F348" s="1">
        <f t="shared" si="26"/>
        <v>0.30249802289627659</v>
      </c>
      <c r="G348" s="1">
        <f t="shared" si="27"/>
        <v>1.6361622318819817E-2</v>
      </c>
      <c r="H348" s="1">
        <f t="shared" si="26"/>
        <v>0.28613640057745676</v>
      </c>
    </row>
    <row r="349" spans="1:8" x14ac:dyDescent="0.35">
      <c r="A349" s="3">
        <f t="shared" si="24"/>
        <v>44147</v>
      </c>
      <c r="B349" s="1">
        <v>0.28662749597495585</v>
      </c>
      <c r="C349" s="1">
        <f t="shared" si="28"/>
        <v>-5.018387718564353E-2</v>
      </c>
      <c r="D349" s="1">
        <f t="shared" si="26"/>
        <v>0.28662749597495585</v>
      </c>
      <c r="E349" s="1">
        <f t="shared" si="25"/>
        <v>-1.6056797120456115E-2</v>
      </c>
      <c r="F349" s="1">
        <f t="shared" si="26"/>
        <v>0.28662749597495585</v>
      </c>
      <c r="G349" s="1">
        <f t="shared" si="27"/>
        <v>-1.4088151686287784E-4</v>
      </c>
      <c r="H349" s="1">
        <f t="shared" si="26"/>
        <v>0.28662749597495585</v>
      </c>
    </row>
    <row r="350" spans="1:8" x14ac:dyDescent="0.35">
      <c r="A350" s="3">
        <f t="shared" si="24"/>
        <v>44148</v>
      </c>
      <c r="B350" s="1">
        <v>0.26729403109927635</v>
      </c>
      <c r="C350" s="1">
        <f t="shared" si="28"/>
        <v>-6.5028546339561788E-2</v>
      </c>
      <c r="D350" s="1">
        <f t="shared" si="26"/>
        <v>0.26729403109927635</v>
      </c>
      <c r="E350" s="1">
        <f t="shared" si="25"/>
        <v>-3.7475953581943382E-2</v>
      </c>
      <c r="F350" s="1">
        <f t="shared" si="26"/>
        <v>0.26729403109927635</v>
      </c>
      <c r="G350" s="1">
        <f t="shared" si="27"/>
        <v>-1.8738775345939675E-2</v>
      </c>
      <c r="H350" s="1">
        <f t="shared" si="26"/>
        <v>0.26729403109927635</v>
      </c>
    </row>
    <row r="351" spans="1:8" x14ac:dyDescent="0.35">
      <c r="A351" s="3">
        <f t="shared" si="24"/>
        <v>44149</v>
      </c>
      <c r="B351" s="1">
        <v>0.26413839301897379</v>
      </c>
      <c r="C351" s="1">
        <f t="shared" si="28"/>
        <v>-6.3188707016385862E-2</v>
      </c>
      <c r="D351" s="1">
        <f t="shared" si="26"/>
        <v>0.26413839301897379</v>
      </c>
      <c r="E351" s="1">
        <f t="shared" si="25"/>
        <v>-4.3798113766740102E-2</v>
      </c>
      <c r="F351" s="1">
        <f t="shared" si="26"/>
        <v>0.26413839301897379</v>
      </c>
      <c r="G351" s="1">
        <f t="shared" si="27"/>
        <v>-2.0370668847285413E-2</v>
      </c>
      <c r="H351" s="1">
        <f t="shared" si="26"/>
        <v>0.26413839301897379</v>
      </c>
    </row>
    <row r="352" spans="1:8" x14ac:dyDescent="0.35">
      <c r="A352" s="3">
        <f t="shared" si="24"/>
        <v>44150</v>
      </c>
      <c r="B352" s="1">
        <v>0.40351570498675088</v>
      </c>
      <c r="C352" s="1">
        <f t="shared" si="28"/>
        <v>7.5701108778828519E-2</v>
      </c>
      <c r="D352" s="1">
        <f t="shared" si="26"/>
        <v>0.32781459620792236</v>
      </c>
      <c r="E352" s="1">
        <f t="shared" si="25"/>
        <v>1.8908358705538263E-2</v>
      </c>
      <c r="F352" s="1">
        <f t="shared" si="26"/>
        <v>0.30890623750238411</v>
      </c>
      <c r="G352" s="1">
        <f t="shared" si="27"/>
        <v>2.424618163154342E-2</v>
      </c>
      <c r="H352" s="1">
        <f t="shared" si="26"/>
        <v>0.2846600558708407</v>
      </c>
    </row>
    <row r="353" spans="1:8" x14ac:dyDescent="0.35">
      <c r="A353" s="3">
        <f t="shared" si="24"/>
        <v>44151</v>
      </c>
      <c r="B353" s="1">
        <v>0.29397692664689928</v>
      </c>
      <c r="C353" s="1">
        <f t="shared" si="28"/>
        <v>-3.5407548531690772E-2</v>
      </c>
      <c r="D353" s="1">
        <f t="shared" si="26"/>
        <v>0.29397692664689928</v>
      </c>
      <c r="E353" s="1">
        <f t="shared" si="25"/>
        <v>-1.4767998104806973E-2</v>
      </c>
      <c r="F353" s="1">
        <f t="shared" si="26"/>
        <v>0.29397692664689928</v>
      </c>
      <c r="G353" s="1">
        <f t="shared" si="27"/>
        <v>8.058256310773523E-3</v>
      </c>
      <c r="H353" s="1">
        <f t="shared" si="26"/>
        <v>0.28591867033612578</v>
      </c>
    </row>
    <row r="354" spans="1:8" x14ac:dyDescent="0.35">
      <c r="A354" s="3">
        <f t="shared" si="24"/>
        <v>44152</v>
      </c>
      <c r="B354" s="1">
        <v>0.27674250260201888</v>
      </c>
      <c r="C354" s="1">
        <f t="shared" si="28"/>
        <v>-4.9340115535011352E-2</v>
      </c>
      <c r="D354" s="1">
        <f t="shared" si="26"/>
        <v>0.27674250260201888</v>
      </c>
      <c r="E354" s="1">
        <f t="shared" si="25"/>
        <v>-3.3898520268112825E-2</v>
      </c>
      <c r="F354" s="1">
        <f t="shared" si="26"/>
        <v>0.27674250260201888</v>
      </c>
      <c r="G354" s="1">
        <f t="shared" si="27"/>
        <v>-9.1342460557318796E-3</v>
      </c>
      <c r="H354" s="1">
        <f t="shared" si="26"/>
        <v>0.27674250260201888</v>
      </c>
    </row>
    <row r="355" spans="1:8" x14ac:dyDescent="0.35">
      <c r="A355" s="3">
        <f t="shared" ref="A355:A392" si="29">A354+1</f>
        <v>44153</v>
      </c>
      <c r="B355" s="1">
        <v>0.24354663838562862</v>
      </c>
      <c r="C355" s="1">
        <f t="shared" si="28"/>
        <v>-7.7590626178161121E-2</v>
      </c>
      <c r="D355" s="1">
        <f t="shared" si="26"/>
        <v>0.24354663838562862</v>
      </c>
      <c r="E355" s="1">
        <f t="shared" si="25"/>
        <v>-7.1188691433933457E-2</v>
      </c>
      <c r="F355" s="1">
        <f t="shared" si="26"/>
        <v>0.24354663838562862</v>
      </c>
      <c r="G355" s="1">
        <f t="shared" si="27"/>
        <v>-4.0400196909827615E-2</v>
      </c>
      <c r="H355" s="1">
        <f t="shared" si="26"/>
        <v>0.24354663838562862</v>
      </c>
    </row>
    <row r="356" spans="1:8" x14ac:dyDescent="0.35">
      <c r="A356" s="3">
        <f t="shared" si="29"/>
        <v>44154</v>
      </c>
      <c r="B356" s="1">
        <v>0.24391990684307366</v>
      </c>
      <c r="C356" s="1">
        <f t="shared" si="28"/>
        <v>-7.1412058324508185E-2</v>
      </c>
      <c r="D356" s="1">
        <f t="shared" si="26"/>
        <v>0.24391990684307366</v>
      </c>
      <c r="E356" s="1">
        <f t="shared" si="25"/>
        <v>-7.6572346533667679E-2</v>
      </c>
      <c r="F356" s="1">
        <f t="shared" si="26"/>
        <v>0.24391990684307366</v>
      </c>
      <c r="G356" s="1">
        <f t="shared" si="27"/>
        <v>-3.7010911251299697E-2</v>
      </c>
      <c r="H356" s="1">
        <f t="shared" si="26"/>
        <v>0.24391990684307366</v>
      </c>
    </row>
    <row r="357" spans="1:8" x14ac:dyDescent="0.35">
      <c r="A357" s="3">
        <f t="shared" si="29"/>
        <v>44155</v>
      </c>
      <c r="B357" s="1">
        <v>0.23829671786444398</v>
      </c>
      <c r="C357" s="1">
        <f t="shared" si="28"/>
        <v>-7.1468473342101144E-2</v>
      </c>
      <c r="D357" s="1">
        <f t="shared" si="26"/>
        <v>0.23829671786444398</v>
      </c>
      <c r="E357" s="1">
        <f t="shared" si="25"/>
        <v>-8.8632071270917559E-2</v>
      </c>
      <c r="F357" s="1">
        <f t="shared" si="26"/>
        <v>0.23829671786444398</v>
      </c>
      <c r="G357" s="1">
        <f t="shared" si="27"/>
        <v>-3.9647412299383282E-2</v>
      </c>
      <c r="H357" s="1">
        <f t="shared" si="26"/>
        <v>0.23829671786444398</v>
      </c>
    </row>
    <row r="358" spans="1:8" x14ac:dyDescent="0.35">
      <c r="A358" s="3">
        <f t="shared" si="29"/>
        <v>44156</v>
      </c>
      <c r="B358" s="1">
        <v>0.25079473873284391</v>
      </c>
      <c r="C358" s="1">
        <f t="shared" si="28"/>
        <v>-5.4078992755608624E-2</v>
      </c>
      <c r="D358" s="1">
        <f t="shared" si="26"/>
        <v>0.25079473873284391</v>
      </c>
      <c r="E358" s="1">
        <f t="shared" si="25"/>
        <v>-8.2813758037927163E-2</v>
      </c>
      <c r="F358" s="1">
        <f t="shared" si="26"/>
        <v>0.25079473873284391</v>
      </c>
      <c r="G358" s="1">
        <f t="shared" si="27"/>
        <v>-2.4644511291094604E-2</v>
      </c>
      <c r="H358" s="1">
        <f t="shared" si="26"/>
        <v>0.25079473873284391</v>
      </c>
    </row>
    <row r="359" spans="1:8" x14ac:dyDescent="0.35">
      <c r="A359" s="3">
        <f t="shared" si="29"/>
        <v>44157</v>
      </c>
      <c r="B359" s="1">
        <v>0.25393648859946494</v>
      </c>
      <c r="C359" s="1">
        <f t="shared" si="28"/>
        <v>-4.6999134052315247E-2</v>
      </c>
      <c r="D359" s="1">
        <f t="shared" si="26"/>
        <v>0.25393648859946494</v>
      </c>
      <c r="E359" s="1">
        <f t="shared" si="25"/>
        <v>-8.6259268963572347E-2</v>
      </c>
      <c r="F359" s="1">
        <f t="shared" si="26"/>
        <v>0.25393648859946494</v>
      </c>
      <c r="G359" s="1">
        <f t="shared" si="27"/>
        <v>-1.9772238697639773E-2</v>
      </c>
      <c r="H359" s="1">
        <f t="shared" si="26"/>
        <v>0.25393648859946494</v>
      </c>
    </row>
    <row r="360" spans="1:8" x14ac:dyDescent="0.35">
      <c r="A360" s="3">
        <f t="shared" si="29"/>
        <v>44158</v>
      </c>
      <c r="B360" s="1">
        <v>0.25260814734355985</v>
      </c>
      <c r="C360" s="1">
        <f t="shared" si="28"/>
        <v>-4.4752727457200249E-2</v>
      </c>
      <c r="D360" s="1">
        <f t="shared" si="26"/>
        <v>0.25260814734355985</v>
      </c>
      <c r="E360" s="1">
        <f t="shared" si="25"/>
        <v>-9.4635456672844315E-2</v>
      </c>
      <c r="F360" s="1">
        <f t="shared" si="26"/>
        <v>0.25260814734355985</v>
      </c>
      <c r="G360" s="1">
        <f t="shared" si="27"/>
        <v>-1.9567849254125438E-2</v>
      </c>
      <c r="H360" s="1">
        <f t="shared" si="26"/>
        <v>0.25260814734355985</v>
      </c>
    </row>
    <row r="361" spans="1:8" x14ac:dyDescent="0.35">
      <c r="A361" s="3">
        <f t="shared" si="29"/>
        <v>44159</v>
      </c>
      <c r="B361" s="1">
        <v>0.51471417357078753</v>
      </c>
      <c r="C361" s="1">
        <f t="shared" si="28"/>
        <v>0.21088077734579644</v>
      </c>
      <c r="D361" s="1">
        <f t="shared" si="26"/>
        <v>0.30383339622499106</v>
      </c>
      <c r="E361" s="1">
        <f t="shared" si="25"/>
        <v>-4.900665364807219E-2</v>
      </c>
      <c r="F361" s="1">
        <f t="shared" si="26"/>
        <v>0.30383339622499106</v>
      </c>
      <c r="G361" s="1">
        <f t="shared" si="27"/>
        <v>3.1204041488311508E-2</v>
      </c>
      <c r="H361" s="1">
        <f t="shared" si="26"/>
        <v>0.27262935473667954</v>
      </c>
    </row>
    <row r="362" spans="1:8" x14ac:dyDescent="0.35">
      <c r="A362" s="3">
        <f t="shared" si="29"/>
        <v>44160</v>
      </c>
      <c r="B362" s="1">
        <v>1.0925447577173439</v>
      </c>
      <c r="C362" s="1">
        <f t="shared" si="28"/>
        <v>0.75122665628592222</v>
      </c>
      <c r="D362" s="1">
        <f t="shared" si="26"/>
        <v>0.34131810143142172</v>
      </c>
      <c r="E362" s="1">
        <f t="shared" si="25"/>
        <v>-1.3975810688521821E-2</v>
      </c>
      <c r="F362" s="1">
        <f t="shared" si="26"/>
        <v>0.34131810143142172</v>
      </c>
      <c r="G362" s="1">
        <f t="shared" si="27"/>
        <v>6.4942767137877652E-2</v>
      </c>
      <c r="H362" s="1">
        <f t="shared" si="26"/>
        <v>0.27637533429354405</v>
      </c>
    </row>
    <row r="363" spans="1:8" x14ac:dyDescent="0.35">
      <c r="A363" s="3">
        <f t="shared" si="29"/>
        <v>44161</v>
      </c>
      <c r="B363" s="1">
        <v>0.90711113320091485</v>
      </c>
      <c r="C363" s="1">
        <f t="shared" si="28"/>
        <v>0.51640479346741508</v>
      </c>
      <c r="D363" s="1">
        <f t="shared" si="26"/>
        <v>0.39070633973349977</v>
      </c>
      <c r="E363" s="1">
        <f t="shared" si="25"/>
        <v>3.628147965105763E-2</v>
      </c>
      <c r="F363" s="1">
        <f t="shared" si="26"/>
        <v>0.35442486008244212</v>
      </c>
      <c r="G363" s="1">
        <f t="shared" si="27"/>
        <v>7.2687314804143963E-2</v>
      </c>
      <c r="H363" s="1">
        <f t="shared" si="26"/>
        <v>0.28173754527829814</v>
      </c>
    </row>
    <row r="364" spans="1:8" x14ac:dyDescent="0.35">
      <c r="A364" s="3">
        <f t="shared" si="29"/>
        <v>44162</v>
      </c>
      <c r="B364" s="1">
        <v>0.60145555756188085</v>
      </c>
      <c r="C364" s="1">
        <f t="shared" si="28"/>
        <v>0.18348094240478874</v>
      </c>
      <c r="D364" s="1">
        <f t="shared" si="26"/>
        <v>0.41797461515709211</v>
      </c>
      <c r="E364" s="1">
        <f t="shared" si="25"/>
        <v>6.759696729325973E-2</v>
      </c>
      <c r="F364" s="1">
        <f t="shared" si="26"/>
        <v>0.35037764786383241</v>
      </c>
      <c r="G364" s="1">
        <f t="shared" si="27"/>
        <v>6.334032443342133E-2</v>
      </c>
      <c r="H364" s="1">
        <f t="shared" si="26"/>
        <v>0.28703732343041111</v>
      </c>
    </row>
    <row r="365" spans="1:8" x14ac:dyDescent="0.35">
      <c r="A365" s="3">
        <f t="shared" si="29"/>
        <v>44163</v>
      </c>
      <c r="B365" s="1">
        <v>0.45350215392969129</v>
      </c>
      <c r="C365" s="1">
        <f t="shared" si="28"/>
        <v>2.731472072844715E-2</v>
      </c>
      <c r="D365" s="1">
        <f t="shared" si="26"/>
        <v>0.42618743320124414</v>
      </c>
      <c r="E365" s="1">
        <f t="shared" si="25"/>
        <v>8.1623572606222758E-2</v>
      </c>
      <c r="F365" s="1">
        <f t="shared" si="26"/>
        <v>0.34456386059502137</v>
      </c>
      <c r="G365" s="1">
        <f t="shared" si="27"/>
        <v>5.2994029854684099E-2</v>
      </c>
      <c r="H365" s="1">
        <f t="shared" si="26"/>
        <v>0.29156983074033727</v>
      </c>
    </row>
    <row r="366" spans="1:8" x14ac:dyDescent="0.35">
      <c r="A366" s="3">
        <f t="shared" si="29"/>
        <v>44164</v>
      </c>
      <c r="B366" s="1">
        <v>0.39035248607774159</v>
      </c>
      <c r="C366" s="1">
        <f t="shared" si="28"/>
        <v>-3.5515438633687973E-2</v>
      </c>
      <c r="D366" s="1">
        <f t="shared" si="26"/>
        <v>0.39035248607774159</v>
      </c>
      <c r="E366" s="1">
        <f t="shared" si="25"/>
        <v>5.0953984864704385E-2</v>
      </c>
      <c r="F366" s="1">
        <f t="shared" si="26"/>
        <v>0.33939850121303722</v>
      </c>
      <c r="G366" s="1">
        <f t="shared" si="27"/>
        <v>4.4047819210423049E-2</v>
      </c>
      <c r="H366" s="1">
        <f t="shared" si="26"/>
        <v>0.29535068200261416</v>
      </c>
    </row>
    <row r="367" spans="1:8" x14ac:dyDescent="0.35">
      <c r="A367" s="3">
        <f t="shared" si="29"/>
        <v>44165</v>
      </c>
      <c r="B367" s="1">
        <v>0.3476555135050175</v>
      </c>
      <c r="C367" s="1">
        <f t="shared" si="28"/>
        <v>-7.3947616837408317E-2</v>
      </c>
      <c r="D367" s="1">
        <f t="shared" si="26"/>
        <v>0.3476555135050175</v>
      </c>
      <c r="E367" s="1">
        <f t="shared" si="25"/>
        <v>1.0657458122656695E-2</v>
      </c>
      <c r="F367" s="1">
        <f t="shared" si="26"/>
        <v>0.33699805538236083</v>
      </c>
      <c r="G367" s="1">
        <f t="shared" si="27"/>
        <v>3.8433803657615298E-2</v>
      </c>
      <c r="H367" s="1">
        <f t="shared" si="26"/>
        <v>0.29856425172474554</v>
      </c>
    </row>
    <row r="368" spans="1:8" x14ac:dyDescent="0.35">
      <c r="A368" s="3">
        <f t="shared" si="29"/>
        <v>44166</v>
      </c>
      <c r="B368" s="1">
        <v>0.32620370997277448</v>
      </c>
      <c r="C368" s="1">
        <f t="shared" si="28"/>
        <v>-8.9048906474386597E-2</v>
      </c>
      <c r="D368" s="1">
        <f t="shared" si="26"/>
        <v>0.32620370997277448</v>
      </c>
      <c r="E368" s="1">
        <f t="shared" si="25"/>
        <v>-1.0799894894191579E-2</v>
      </c>
      <c r="F368" s="1">
        <f t="shared" si="26"/>
        <v>0.32620370997277448</v>
      </c>
      <c r="G368" s="1">
        <f t="shared" si="27"/>
        <v>2.5161710926567292E-2</v>
      </c>
      <c r="H368" s="1">
        <f t="shared" si="26"/>
        <v>0.30104199904620721</v>
      </c>
    </row>
    <row r="369" spans="1:8" x14ac:dyDescent="0.35">
      <c r="A369" s="3">
        <f t="shared" si="29"/>
        <v>44167</v>
      </c>
      <c r="B369" s="1">
        <v>0.31957792238571442</v>
      </c>
      <c r="C369" s="1">
        <f t="shared" si="28"/>
        <v>-8.8747559041352911E-2</v>
      </c>
      <c r="D369" s="1">
        <f t="shared" si="26"/>
        <v>0.31957792238571442</v>
      </c>
      <c r="E369" s="1">
        <f t="shared" si="25"/>
        <v>-1.8569962645120962E-2</v>
      </c>
      <c r="F369" s="1">
        <f t="shared" si="26"/>
        <v>0.31957792238571442</v>
      </c>
      <c r="G369" s="1">
        <f t="shared" si="27"/>
        <v>1.6897262054529436E-2</v>
      </c>
      <c r="H369" s="1">
        <f t="shared" si="26"/>
        <v>0.30268066033118496</v>
      </c>
    </row>
    <row r="370" spans="1:8" x14ac:dyDescent="0.35">
      <c r="A370" s="3">
        <f t="shared" si="29"/>
        <v>44168</v>
      </c>
      <c r="B370" s="1">
        <v>0.29971773686037967</v>
      </c>
      <c r="C370" s="1">
        <f t="shared" si="28"/>
        <v>-0.10120692068138615</v>
      </c>
      <c r="D370" s="1">
        <f t="shared" si="26"/>
        <v>0.29971773686037967</v>
      </c>
      <c r="E370" s="1">
        <f t="shared" si="25"/>
        <v>-4.0740963473789901E-2</v>
      </c>
      <c r="F370" s="1">
        <f t="shared" si="26"/>
        <v>0.29971773686037967</v>
      </c>
      <c r="G370" s="1">
        <f t="shared" si="27"/>
        <v>-3.4854611676949712E-3</v>
      </c>
      <c r="H370" s="1">
        <f t="shared" si="26"/>
        <v>0.29971773686037967</v>
      </c>
    </row>
    <row r="371" spans="1:8" x14ac:dyDescent="0.35">
      <c r="A371" s="3">
        <f t="shared" si="29"/>
        <v>44169</v>
      </c>
      <c r="B371" s="1">
        <v>0.30484142829225264</v>
      </c>
      <c r="C371" s="1">
        <f t="shared" si="28"/>
        <v>-8.8684848627104462E-2</v>
      </c>
      <c r="D371" s="1">
        <f t="shared" si="26"/>
        <v>0.30484142829225264</v>
      </c>
      <c r="E371" s="1">
        <f t="shared" si="25"/>
        <v>-3.8712876184445584E-2</v>
      </c>
      <c r="F371" s="1">
        <f t="shared" si="26"/>
        <v>0.30484142829225264</v>
      </c>
      <c r="G371" s="1">
        <f t="shared" si="27"/>
        <v>1.7075014230598829E-3</v>
      </c>
      <c r="H371" s="1">
        <f t="shared" si="26"/>
        <v>0.30313392686919277</v>
      </c>
    </row>
    <row r="372" spans="1:8" x14ac:dyDescent="0.35">
      <c r="A372" s="3">
        <f t="shared" si="29"/>
        <v>44170</v>
      </c>
      <c r="B372" s="1">
        <v>0.29954356651120106</v>
      </c>
      <c r="C372" s="1">
        <f t="shared" si="28"/>
        <v>-8.7132676944333756E-2</v>
      </c>
      <c r="D372" s="1">
        <f t="shared" si="26"/>
        <v>0.29954356651120106</v>
      </c>
      <c r="E372" s="1">
        <f t="shared" si="25"/>
        <v>-4.7364397998602939E-2</v>
      </c>
      <c r="F372" s="1">
        <f t="shared" si="26"/>
        <v>0.29954356651120106</v>
      </c>
      <c r="G372" s="1">
        <f t="shared" si="27"/>
        <v>-3.5197531479317454E-3</v>
      </c>
      <c r="H372" s="1">
        <f t="shared" si="26"/>
        <v>0.29954356651120106</v>
      </c>
    </row>
    <row r="373" spans="1:8" x14ac:dyDescent="0.35">
      <c r="A373" s="3">
        <f t="shared" si="29"/>
        <v>44171</v>
      </c>
      <c r="B373" s="1">
        <v>0.29570558478844761</v>
      </c>
      <c r="C373" s="1">
        <f t="shared" si="28"/>
        <v>-8.4291783581658938E-2</v>
      </c>
      <c r="D373" s="1">
        <f t="shared" si="26"/>
        <v>0.29570558478844761</v>
      </c>
      <c r="E373" s="1">
        <f t="shared" si="25"/>
        <v>-5.519833016946285E-2</v>
      </c>
      <c r="F373" s="1">
        <f t="shared" si="26"/>
        <v>0.29570558478844761</v>
      </c>
      <c r="G373" s="1">
        <f t="shared" si="27"/>
        <v>-6.9498290699870685E-3</v>
      </c>
      <c r="H373" s="1">
        <f t="shared" si="26"/>
        <v>0.29570558478844761</v>
      </c>
    </row>
    <row r="374" spans="1:8" x14ac:dyDescent="0.35">
      <c r="A374" s="3">
        <f t="shared" si="29"/>
        <v>44172</v>
      </c>
      <c r="B374" s="1">
        <v>0.28285828225890525</v>
      </c>
      <c r="C374" s="1">
        <f t="shared" si="28"/>
        <v>-9.0335428497719042E-2</v>
      </c>
      <c r="D374" s="1">
        <f t="shared" si="26"/>
        <v>0.28285828225890525</v>
      </c>
      <c r="E374" s="1">
        <f t="shared" si="25"/>
        <v>-7.3042009572051203E-2</v>
      </c>
      <c r="F374" s="1">
        <f t="shared" si="26"/>
        <v>0.28285828225890525</v>
      </c>
      <c r="G374" s="1">
        <f t="shared" si="27"/>
        <v>-1.8794120574422559E-2</v>
      </c>
      <c r="H374" s="1">
        <f t="shared" si="26"/>
        <v>0.28285828225890525</v>
      </c>
    </row>
    <row r="375" spans="1:8" x14ac:dyDescent="0.35">
      <c r="A375" s="3">
        <f t="shared" si="29"/>
        <v>44173</v>
      </c>
      <c r="B375" s="1">
        <v>0.28032351306021014</v>
      </c>
      <c r="C375" s="1">
        <f t="shared" si="28"/>
        <v>-8.5999986714134155E-2</v>
      </c>
      <c r="D375" s="1">
        <f t="shared" si="26"/>
        <v>0.28032351306021014</v>
      </c>
      <c r="E375" s="1">
        <f t="shared" si="25"/>
        <v>-8.1601864784643499E-2</v>
      </c>
      <c r="F375" s="1">
        <f t="shared" si="26"/>
        <v>0.28032351306021014</v>
      </c>
      <c r="G375" s="1">
        <f t="shared" si="27"/>
        <v>-1.982427688508491E-2</v>
      </c>
      <c r="H375" s="1">
        <f t="shared" si="26"/>
        <v>0.28032351306021014</v>
      </c>
    </row>
    <row r="376" spans="1:8" x14ac:dyDescent="0.35">
      <c r="A376" s="3">
        <f t="shared" si="29"/>
        <v>44174</v>
      </c>
      <c r="B376" s="1">
        <v>0.27123865962116339</v>
      </c>
      <c r="C376" s="1">
        <f t="shared" si="28"/>
        <v>-8.8294159145656595E-2</v>
      </c>
      <c r="D376" s="1">
        <f t="shared" si="26"/>
        <v>0.27123865962116339</v>
      </c>
      <c r="E376" s="1">
        <f t="shared" si="25"/>
        <v>-9.7671390507811873E-2</v>
      </c>
      <c r="F376" s="1">
        <f t="shared" si="26"/>
        <v>0.27123865962116339</v>
      </c>
      <c r="G376" s="1">
        <f t="shared" si="27"/>
        <v>-2.7081627553786035E-2</v>
      </c>
      <c r="H376" s="1">
        <f t="shared" si="26"/>
        <v>0.27123865962116339</v>
      </c>
    </row>
    <row r="377" spans="1:8" x14ac:dyDescent="0.35">
      <c r="A377" s="3">
        <f t="shared" si="29"/>
        <v>44175</v>
      </c>
      <c r="B377" s="1">
        <v>0.27020623655704673</v>
      </c>
      <c r="C377" s="1">
        <f t="shared" si="28"/>
        <v>-8.2665804408944638E-2</v>
      </c>
      <c r="D377" s="1">
        <f t="shared" si="26"/>
        <v>0.27020623655704673</v>
      </c>
      <c r="E377" s="1">
        <f t="shared" si="25"/>
        <v>-0.10666497049408016</v>
      </c>
      <c r="F377" s="1">
        <f t="shared" si="26"/>
        <v>0.27020623655704673</v>
      </c>
      <c r="G377" s="1">
        <f t="shared" si="27"/>
        <v>-2.6044212686464369E-2</v>
      </c>
      <c r="H377" s="1">
        <f t="shared" si="26"/>
        <v>0.27020623655704673</v>
      </c>
    </row>
    <row r="378" spans="1:8" x14ac:dyDescent="0.35">
      <c r="A378" s="3">
        <f t="shared" si="29"/>
        <v>44176</v>
      </c>
      <c r="B378" s="1">
        <v>0.37661694233124798</v>
      </c>
      <c r="C378" s="1">
        <f t="shared" si="28"/>
        <v>2.5954435229394918E-2</v>
      </c>
      <c r="D378" s="1">
        <f t="shared" si="26"/>
        <v>0.35066250710185309</v>
      </c>
      <c r="E378" s="1">
        <f t="shared" si="25"/>
        <v>-3.159547037265302E-2</v>
      </c>
      <c r="F378" s="1">
        <f t="shared" si="26"/>
        <v>0.35066250710185309</v>
      </c>
      <c r="G378" s="1">
        <f t="shared" si="27"/>
        <v>5.3348263664396579E-2</v>
      </c>
      <c r="H378" s="1">
        <f t="shared" si="26"/>
        <v>0.29731424343745649</v>
      </c>
    </row>
    <row r="379" spans="1:8" x14ac:dyDescent="0.35">
      <c r="A379" s="3">
        <f t="shared" si="29"/>
        <v>44177</v>
      </c>
      <c r="B379" s="1">
        <v>1.6420432814931445</v>
      </c>
      <c r="C379" s="1">
        <f t="shared" si="28"/>
        <v>1.2419807040305157</v>
      </c>
      <c r="D379" s="1">
        <f t="shared" si="26"/>
        <v>0.40006257746262874</v>
      </c>
      <c r="E379" s="1">
        <f t="shared" si="25"/>
        <v>1.7245510648209242E-2</v>
      </c>
      <c r="F379" s="1">
        <f t="shared" si="26"/>
        <v>0.38281706681441952</v>
      </c>
      <c r="G379" s="1">
        <f t="shared" si="27"/>
        <v>8.0295907612912026E-2</v>
      </c>
      <c r="H379" s="1">
        <f t="shared" si="26"/>
        <v>0.30252115920150746</v>
      </c>
    </row>
    <row r="380" spans="1:8" x14ac:dyDescent="0.35">
      <c r="A380" s="3">
        <f t="shared" si="29"/>
        <v>44178</v>
      </c>
      <c r="B380" s="1">
        <v>0.95381117274173999</v>
      </c>
      <c r="C380" s="1">
        <f t="shared" si="28"/>
        <v>0.48640874655500033</v>
      </c>
      <c r="D380" s="1">
        <f t="shared" si="26"/>
        <v>0.46740242618673966</v>
      </c>
      <c r="E380" s="1">
        <f t="shared" si="25"/>
        <v>8.8713637886665947E-2</v>
      </c>
      <c r="F380" s="1">
        <f t="shared" si="26"/>
        <v>0.37868878830007369</v>
      </c>
      <c r="G380" s="1">
        <f t="shared" si="27"/>
        <v>7.0300246471885777E-2</v>
      </c>
      <c r="H380" s="1">
        <f t="shared" si="26"/>
        <v>0.30838854182818792</v>
      </c>
    </row>
    <row r="381" spans="1:8" x14ac:dyDescent="0.35">
      <c r="A381" s="3">
        <f t="shared" si="29"/>
        <v>44179</v>
      </c>
      <c r="B381" s="1">
        <v>0.6934728982286007</v>
      </c>
      <c r="C381" s="1">
        <f t="shared" si="28"/>
        <v>0.19935250134447879</v>
      </c>
      <c r="D381" s="1">
        <f t="shared" si="26"/>
        <v>0.4941203968841219</v>
      </c>
      <c r="E381" s="1">
        <f t="shared" si="25"/>
        <v>0.12370776722475281</v>
      </c>
      <c r="F381" s="1">
        <f t="shared" si="26"/>
        <v>0.37041262965936911</v>
      </c>
      <c r="G381" s="1">
        <f t="shared" si="27"/>
        <v>5.7061925294816199E-2</v>
      </c>
      <c r="H381" s="1">
        <f t="shared" si="26"/>
        <v>0.31335070436455292</v>
      </c>
    </row>
    <row r="382" spans="1:8" x14ac:dyDescent="0.35">
      <c r="A382" s="3">
        <f t="shared" si="29"/>
        <v>44180</v>
      </c>
      <c r="B382" s="1">
        <v>0.49526365789205268</v>
      </c>
      <c r="C382" s="1">
        <f t="shared" si="28"/>
        <v>-6.3753300802845692E-3</v>
      </c>
      <c r="D382" s="1">
        <f t="shared" si="26"/>
        <v>0.49526365789205268</v>
      </c>
      <c r="E382" s="1">
        <f t="shared" si="25"/>
        <v>0.1349277361566337</v>
      </c>
      <c r="F382" s="1">
        <f t="shared" si="26"/>
        <v>0.36033592173541895</v>
      </c>
      <c r="G382" s="1">
        <f t="shared" si="27"/>
        <v>4.3083449520902962E-2</v>
      </c>
      <c r="H382" s="1">
        <f t="shared" si="26"/>
        <v>0.31725247221451597</v>
      </c>
    </row>
    <row r="383" spans="1:8" x14ac:dyDescent="0.35">
      <c r="A383" s="3">
        <f t="shared" si="29"/>
        <v>44181</v>
      </c>
      <c r="B383" s="1">
        <v>0.44506123255176316</v>
      </c>
      <c r="C383" s="1">
        <f t="shared" si="28"/>
        <v>-5.421701471429189E-2</v>
      </c>
      <c r="D383" s="1">
        <f t="shared" si="26"/>
        <v>0.44506123255176316</v>
      </c>
      <c r="E383" s="1">
        <f t="shared" si="25"/>
        <v>9.3630164072005445E-2</v>
      </c>
      <c r="F383" s="1">
        <f t="shared" si="26"/>
        <v>0.35143106847975769</v>
      </c>
      <c r="G383" s="1">
        <f t="shared" si="27"/>
        <v>3.1281269548261277E-2</v>
      </c>
      <c r="H383" s="1">
        <f t="shared" si="26"/>
        <v>0.32014979893149642</v>
      </c>
    </row>
    <row r="384" spans="1:8" x14ac:dyDescent="0.35">
      <c r="A384" s="3">
        <f t="shared" si="29"/>
        <v>44182</v>
      </c>
      <c r="B384" s="1">
        <v>0.39787493600212986</v>
      </c>
      <c r="C384" s="1">
        <f t="shared" si="28"/>
        <v>-9.5567549039742045E-2</v>
      </c>
      <c r="D384" s="1">
        <f t="shared" si="26"/>
        <v>0.39787493600212986</v>
      </c>
      <c r="E384" s="1">
        <f t="shared" si="25"/>
        <v>5.2122544478900974E-2</v>
      </c>
      <c r="F384" s="1">
        <f t="shared" si="26"/>
        <v>0.3457523915232289</v>
      </c>
      <c r="G384" s="1">
        <f t="shared" si="27"/>
        <v>2.3469447761482718E-2</v>
      </c>
      <c r="H384" s="1">
        <f t="shared" si="26"/>
        <v>0.32228294376174615</v>
      </c>
    </row>
    <row r="385" spans="1:8" x14ac:dyDescent="0.35">
      <c r="A385" s="3">
        <f t="shared" si="29"/>
        <v>44183</v>
      </c>
      <c r="B385" s="1">
        <v>0.35763424662213034</v>
      </c>
      <c r="C385" s="1">
        <f t="shared" si="28"/>
        <v>-0.12713164639001096</v>
      </c>
      <c r="D385" s="1">
        <f t="shared" si="26"/>
        <v>0.35763424662213034</v>
      </c>
      <c r="E385" s="1">
        <f t="shared" si="25"/>
        <v>1.4476628054758297E-2</v>
      </c>
      <c r="F385" s="1">
        <f t="shared" si="26"/>
        <v>0.34315761856737204</v>
      </c>
      <c r="G385" s="1">
        <f t="shared" si="27"/>
        <v>1.9211770209359286E-2</v>
      </c>
      <c r="H385" s="1">
        <f t="shared" si="26"/>
        <v>0.32394584835801277</v>
      </c>
    </row>
    <row r="386" spans="1:8" x14ac:dyDescent="0.35">
      <c r="A386" s="3">
        <f t="shared" si="29"/>
        <v>44184</v>
      </c>
      <c r="B386" s="1">
        <v>0.35218165211293789</v>
      </c>
      <c r="C386" s="1">
        <f t="shared" si="28"/>
        <v>-0.12284489512585786</v>
      </c>
      <c r="D386" s="1">
        <f t="shared" si="26"/>
        <v>0.35218165211293789</v>
      </c>
      <c r="E386" s="1">
        <f t="shared" si="25"/>
        <v>9.9767630699033188E-3</v>
      </c>
      <c r="F386" s="1">
        <f t="shared" si="26"/>
        <v>0.34220488904303459</v>
      </c>
      <c r="G386" s="1">
        <f t="shared" si="27"/>
        <v>1.6853885276482544E-2</v>
      </c>
      <c r="H386" s="1">
        <f t="shared" si="26"/>
        <v>0.32535100376655202</v>
      </c>
    </row>
    <row r="387" spans="1:8" x14ac:dyDescent="0.35">
      <c r="A387" s="3">
        <f t="shared" si="29"/>
        <v>44185</v>
      </c>
      <c r="B387" s="1">
        <v>0.34583177892502498</v>
      </c>
      <c r="C387" s="1">
        <f t="shared" si="28"/>
        <v>-0.1197432809347847</v>
      </c>
      <c r="D387" s="1">
        <f t="shared" si="26"/>
        <v>0.34583177892502498</v>
      </c>
      <c r="E387" s="1">
        <f t="shared" ref="E387:E420" si="30">alpha*E388+(1+alpha)/2*(D387-D388)</f>
        <v>4.1783893259860969E-3</v>
      </c>
      <c r="F387" s="1">
        <f t="shared" si="26"/>
        <v>0.3416533895990389</v>
      </c>
      <c r="G387" s="1">
        <f t="shared" si="27"/>
        <v>1.5059025665900507E-2</v>
      </c>
      <c r="H387" s="1">
        <f t="shared" si="26"/>
        <v>0.3265943639331384</v>
      </c>
    </row>
    <row r="388" spans="1:8" x14ac:dyDescent="0.35">
      <c r="A388" s="3">
        <f t="shared" si="29"/>
        <v>44186</v>
      </c>
      <c r="B388" s="1">
        <v>0.3245401853015672</v>
      </c>
      <c r="C388" s="1">
        <f t="shared" si="28"/>
        <v>-0.13125569372725399</v>
      </c>
      <c r="D388" s="1">
        <f t="shared" ref="D388:H421" si="31">B388-MAX(0,C388)</f>
        <v>0.3245401853015672</v>
      </c>
      <c r="E388" s="1">
        <f t="shared" si="30"/>
        <v>-1.7637588688207587E-2</v>
      </c>
      <c r="F388" s="1">
        <f t="shared" si="31"/>
        <v>0.3245401853015672</v>
      </c>
      <c r="G388" s="1">
        <f t="shared" ref="G388:G421" si="32">alpha*G387+(1+alpha)/2*(F388-F387)</f>
        <v>-2.5418603953585479E-3</v>
      </c>
      <c r="H388" s="1">
        <f t="shared" si="31"/>
        <v>0.3245401853015672</v>
      </c>
    </row>
    <row r="389" spans="1:8" x14ac:dyDescent="0.35">
      <c r="A389" s="3">
        <f t="shared" si="29"/>
        <v>44187</v>
      </c>
      <c r="B389" s="1">
        <v>0.31764874876178623</v>
      </c>
      <c r="C389" s="1">
        <f t="shared" ref="C389:C421" si="33">alpha*C388+(1+alpha)/2*(B389-B388)</f>
        <v>-0.12804452436724911</v>
      </c>
      <c r="D389" s="1">
        <f t="shared" si="31"/>
        <v>0.31764874876178623</v>
      </c>
      <c r="E389" s="1">
        <f t="shared" si="30"/>
        <v>-2.6238482548915427E-2</v>
      </c>
      <c r="F389" s="1">
        <f t="shared" si="31"/>
        <v>0.31764874876178623</v>
      </c>
      <c r="G389" s="1">
        <f t="shared" si="32"/>
        <v>-8.9842285352458411E-3</v>
      </c>
      <c r="H389" s="1">
        <f t="shared" si="31"/>
        <v>0.31764874876178623</v>
      </c>
    </row>
    <row r="390" spans="1:8" x14ac:dyDescent="0.35">
      <c r="A390" s="3">
        <f t="shared" si="29"/>
        <v>44188</v>
      </c>
      <c r="B390" s="1">
        <v>0.32599420610084623</v>
      </c>
      <c r="C390" s="1">
        <f t="shared" si="33"/>
        <v>-0.11040868235086018</v>
      </c>
      <c r="D390" s="1">
        <f t="shared" si="31"/>
        <v>0.32599420610084623</v>
      </c>
      <c r="E390" s="1">
        <f t="shared" si="30"/>
        <v>-1.9682140389265055E-2</v>
      </c>
      <c r="F390" s="1">
        <f t="shared" si="31"/>
        <v>0.32599420610084623</v>
      </c>
      <c r="G390" s="1">
        <f t="shared" si="32"/>
        <v>-2.7790870625715031E-4</v>
      </c>
      <c r="H390" s="1">
        <f t="shared" si="31"/>
        <v>0.32599420610084623</v>
      </c>
    </row>
    <row r="391" spans="1:8" x14ac:dyDescent="0.35">
      <c r="A391" s="3">
        <f t="shared" si="29"/>
        <v>44189</v>
      </c>
      <c r="B391" s="1">
        <v>0.30276260261793558</v>
      </c>
      <c r="C391" s="1">
        <f t="shared" si="33"/>
        <v>-0.12448844952684718</v>
      </c>
      <c r="D391" s="1">
        <f t="shared" si="31"/>
        <v>0.30276260261793558</v>
      </c>
      <c r="E391" s="1">
        <f t="shared" si="30"/>
        <v>-4.5451414855747621E-2</v>
      </c>
      <c r="F391" s="1">
        <f t="shared" si="31"/>
        <v>0.30276260261793558</v>
      </c>
      <c r="G391" s="1">
        <f t="shared" si="32"/>
        <v>-2.2617483905589361E-2</v>
      </c>
      <c r="H391" s="1">
        <f t="shared" si="31"/>
        <v>0.30276260261793558</v>
      </c>
    </row>
    <row r="392" spans="1:8" x14ac:dyDescent="0.35">
      <c r="A392" s="3">
        <f t="shared" si="29"/>
        <v>44190</v>
      </c>
      <c r="B392" s="1">
        <v>0.27503039600379453</v>
      </c>
      <c r="C392" s="1">
        <f t="shared" si="33"/>
        <v>-0.1418440646784444</v>
      </c>
      <c r="D392" s="1">
        <f t="shared" si="31"/>
        <v>0.27503039600379453</v>
      </c>
      <c r="E392" s="1">
        <f t="shared" si="30"/>
        <v>-7.7993149969576639E-2</v>
      </c>
      <c r="F392" s="1">
        <f t="shared" si="31"/>
        <v>0.27503039600379453</v>
      </c>
      <c r="G392" s="1">
        <f t="shared" si="32"/>
        <v>-4.7613421478780921E-2</v>
      </c>
      <c r="H392" s="1">
        <f t="shared" si="31"/>
        <v>0.27503039600379453</v>
      </c>
    </row>
    <row r="393" spans="1:8" x14ac:dyDescent="0.35">
      <c r="A393" s="4">
        <v>44189</v>
      </c>
      <c r="B393" s="2">
        <v>0.30276260261793558</v>
      </c>
      <c r="C393" s="1">
        <f t="shared" si="33"/>
        <v>-0.10451351096145031</v>
      </c>
      <c r="D393" s="1">
        <f t="shared" si="31"/>
        <v>0.30276260261793558</v>
      </c>
      <c r="E393" s="1">
        <f t="shared" si="30"/>
        <v>-5.546043362536851E-2</v>
      </c>
      <c r="F393" s="1">
        <f t="shared" si="31"/>
        <v>0.30276260261793558</v>
      </c>
      <c r="G393" s="1">
        <f t="shared" si="32"/>
        <v>-1.7350166001761588E-2</v>
      </c>
      <c r="H393" s="1">
        <f t="shared" si="31"/>
        <v>0.30276260261793558</v>
      </c>
    </row>
    <row r="394" spans="1:8" x14ac:dyDescent="0.35">
      <c r="A394" s="4">
        <v>44188</v>
      </c>
      <c r="B394" s="2">
        <v>0.32599420610084623</v>
      </c>
      <c r="C394" s="1">
        <f t="shared" si="33"/>
        <v>-7.4314579287040036E-2</v>
      </c>
      <c r="D394" s="1">
        <f t="shared" si="31"/>
        <v>0.32599420610084623</v>
      </c>
      <c r="E394" s="1">
        <f t="shared" si="30"/>
        <v>-3.5783800295207585E-2</v>
      </c>
      <c r="F394" s="1">
        <f t="shared" si="31"/>
        <v>0.32599420610084623</v>
      </c>
      <c r="G394" s="1">
        <f t="shared" si="32"/>
        <v>6.3115148006720294E-3</v>
      </c>
      <c r="H394" s="1">
        <f t="shared" si="31"/>
        <v>0.31968269130017418</v>
      </c>
    </row>
    <row r="395" spans="1:8" x14ac:dyDescent="0.35">
      <c r="A395" s="4">
        <v>44187</v>
      </c>
      <c r="B395" s="2">
        <v>0.31764874876178623</v>
      </c>
      <c r="C395" s="1">
        <f t="shared" si="33"/>
        <v>-7.6773488529357295E-2</v>
      </c>
      <c r="D395" s="1">
        <f t="shared" si="31"/>
        <v>0.31764874876178623</v>
      </c>
      <c r="E395" s="1">
        <f t="shared" si="30"/>
        <v>-4.7368976198976044E-2</v>
      </c>
      <c r="F395" s="1">
        <f t="shared" si="31"/>
        <v>0.31764874876178623</v>
      </c>
      <c r="G395" s="1">
        <f t="shared" si="32"/>
        <v>-2.1943514982236262E-3</v>
      </c>
      <c r="H395" s="1">
        <f t="shared" si="31"/>
        <v>0.31764874876178623</v>
      </c>
    </row>
    <row r="396" spans="1:8" x14ac:dyDescent="0.35">
      <c r="A396" s="4">
        <v>44186</v>
      </c>
      <c r="B396" s="2">
        <v>0.3245401853015672</v>
      </c>
      <c r="C396" s="1">
        <f t="shared" si="33"/>
        <v>-6.4382469220116312E-2</v>
      </c>
      <c r="D396" s="1">
        <f t="shared" si="31"/>
        <v>0.3245401853015672</v>
      </c>
      <c r="E396" s="1">
        <f t="shared" si="30"/>
        <v>-4.4038884896688495E-2</v>
      </c>
      <c r="F396" s="1">
        <f t="shared" si="31"/>
        <v>0.3245401853015672</v>
      </c>
      <c r="G396" s="1">
        <f t="shared" si="32"/>
        <v>4.6032325336823297E-3</v>
      </c>
      <c r="H396" s="1">
        <f t="shared" si="31"/>
        <v>0.31993695276788486</v>
      </c>
    </row>
    <row r="397" spans="1:8" x14ac:dyDescent="0.35">
      <c r="A397" s="4">
        <v>44185</v>
      </c>
      <c r="B397" s="2">
        <v>0.34583177892502498</v>
      </c>
      <c r="C397" s="1">
        <f t="shared" si="33"/>
        <v>-3.9060625166029476E-2</v>
      </c>
      <c r="D397" s="1">
        <f t="shared" si="31"/>
        <v>0.34583177892502498</v>
      </c>
      <c r="E397" s="1">
        <f t="shared" si="30"/>
        <v>-2.5454838955795003E-2</v>
      </c>
      <c r="F397" s="1">
        <f t="shared" si="31"/>
        <v>0.34583177892502498</v>
      </c>
      <c r="G397" s="1">
        <f t="shared" si="32"/>
        <v>2.4751148956234273E-2</v>
      </c>
      <c r="H397" s="1">
        <f t="shared" si="31"/>
        <v>0.32108062996879072</v>
      </c>
    </row>
    <row r="398" spans="1:8" x14ac:dyDescent="0.35">
      <c r="A398" s="4">
        <v>44184</v>
      </c>
      <c r="B398" s="2">
        <v>0.35218165211293789</v>
      </c>
      <c r="C398" s="1">
        <f t="shared" si="33"/>
        <v>-3.0019325335211091E-2</v>
      </c>
      <c r="D398" s="1">
        <f t="shared" si="31"/>
        <v>0.35218165211293789</v>
      </c>
      <c r="E398" s="1">
        <f t="shared" si="30"/>
        <v>-2.091144433776089E-2</v>
      </c>
      <c r="F398" s="1">
        <f t="shared" si="31"/>
        <v>0.35218165211293789</v>
      </c>
      <c r="G398" s="1">
        <f t="shared" si="32"/>
        <v>2.900656572788288E-2</v>
      </c>
      <c r="H398" s="1">
        <f t="shared" si="31"/>
        <v>0.32317508638505499</v>
      </c>
    </row>
    <row r="399" spans="1:8" x14ac:dyDescent="0.35">
      <c r="A399" s="4">
        <v>44183</v>
      </c>
      <c r="B399" s="2">
        <v>0.35763424662213034</v>
      </c>
      <c r="C399" s="1">
        <f t="shared" si="33"/>
        <v>-2.2519753719972536E-2</v>
      </c>
      <c r="D399" s="1">
        <f t="shared" si="31"/>
        <v>0.35763424662213034</v>
      </c>
      <c r="E399" s="1">
        <f t="shared" si="30"/>
        <v>-1.6933321213689907E-2</v>
      </c>
      <c r="F399" s="1">
        <f t="shared" si="31"/>
        <v>0.35763424662213034</v>
      </c>
      <c r="G399" s="1">
        <f t="shared" si="32"/>
        <v>3.2079195513389391E-2</v>
      </c>
      <c r="H399" s="1">
        <f t="shared" si="31"/>
        <v>0.32555505110874094</v>
      </c>
    </row>
    <row r="400" spans="1:8" x14ac:dyDescent="0.35">
      <c r="A400" s="4">
        <v>44182</v>
      </c>
      <c r="B400" s="2">
        <v>0.39787493600212986</v>
      </c>
      <c r="C400" s="1">
        <f t="shared" si="33"/>
        <v>1.790089133727495E-2</v>
      </c>
      <c r="D400" s="1">
        <f t="shared" si="31"/>
        <v>0.3799740446648549</v>
      </c>
      <c r="E400" s="1">
        <f t="shared" si="30"/>
        <v>4.9391723269540423E-3</v>
      </c>
      <c r="F400" s="1">
        <f t="shared" si="31"/>
        <v>0.37503487233790084</v>
      </c>
      <c r="G400" s="1">
        <f t="shared" si="32"/>
        <v>4.64213581013143E-2</v>
      </c>
      <c r="H400" s="1">
        <f t="shared" si="31"/>
        <v>0.32861351423658652</v>
      </c>
    </row>
    <row r="401" spans="1:8" x14ac:dyDescent="0.35">
      <c r="A401" s="4">
        <v>44181</v>
      </c>
      <c r="B401" s="2">
        <v>0.44506123255176316</v>
      </c>
      <c r="C401" s="1">
        <f t="shared" si="33"/>
        <v>6.1975134916001373E-2</v>
      </c>
      <c r="D401" s="1">
        <f t="shared" si="31"/>
        <v>0.38308609763576179</v>
      </c>
      <c r="E401" s="1">
        <f t="shared" si="30"/>
        <v>8.5778630394074806E-3</v>
      </c>
      <c r="F401" s="1">
        <f t="shared" si="31"/>
        <v>0.37450823459635429</v>
      </c>
      <c r="G401" s="1">
        <f t="shared" si="32"/>
        <v>4.2432867417477184E-2</v>
      </c>
      <c r="H401" s="1">
        <f t="shared" si="31"/>
        <v>0.33207536717887709</v>
      </c>
    </row>
    <row r="402" spans="1:8" x14ac:dyDescent="0.35">
      <c r="A402" s="4">
        <v>44180</v>
      </c>
      <c r="B402" s="2">
        <v>0.49526365789205268</v>
      </c>
      <c r="C402" s="1">
        <f t="shared" si="33"/>
        <v>0.10564683418732992</v>
      </c>
      <c r="D402" s="1">
        <f t="shared" si="31"/>
        <v>0.38961682370472273</v>
      </c>
      <c r="E402" s="1">
        <f t="shared" si="30"/>
        <v>1.6068850681926896E-2</v>
      </c>
      <c r="F402" s="1">
        <f t="shared" si="31"/>
        <v>0.37354797302279585</v>
      </c>
      <c r="G402" s="1">
        <f t="shared" si="32"/>
        <v>3.8326150596616398E-2</v>
      </c>
      <c r="H402" s="1">
        <f t="shared" si="31"/>
        <v>0.33522182242617948</v>
      </c>
    </row>
    <row r="403" spans="1:8" x14ac:dyDescent="0.35">
      <c r="A403" s="4">
        <v>44179</v>
      </c>
      <c r="B403" s="2">
        <v>0.6934728982286007</v>
      </c>
      <c r="C403" s="1">
        <f t="shared" si="33"/>
        <v>0.28849971544720765</v>
      </c>
      <c r="D403" s="1">
        <f t="shared" si="31"/>
        <v>0.40497318278139305</v>
      </c>
      <c r="E403" s="1">
        <f t="shared" si="30"/>
        <v>3.3350644641321169E-2</v>
      </c>
      <c r="F403" s="1">
        <f t="shared" si="31"/>
        <v>0.3716225381400719</v>
      </c>
      <c r="G403" s="1">
        <f t="shared" si="32"/>
        <v>3.3598458227248364E-2</v>
      </c>
      <c r="H403" s="1">
        <f t="shared" si="31"/>
        <v>0.33802407991282352</v>
      </c>
    </row>
    <row r="404" spans="1:8" x14ac:dyDescent="0.35">
      <c r="A404" s="4">
        <v>44178</v>
      </c>
      <c r="B404" s="2">
        <v>0.95381117274173999</v>
      </c>
      <c r="C404" s="1">
        <f t="shared" si="33"/>
        <v>0.51743782600756361</v>
      </c>
      <c r="D404" s="1">
        <f t="shared" si="31"/>
        <v>0.43637334673417638</v>
      </c>
      <c r="E404" s="1">
        <f t="shared" si="30"/>
        <v>6.8727894536081219E-2</v>
      </c>
      <c r="F404" s="1">
        <f t="shared" si="31"/>
        <v>0.36764545219809519</v>
      </c>
      <c r="G404" s="1">
        <f t="shared" si="32"/>
        <v>2.7250628641052155E-2</v>
      </c>
      <c r="H404" s="1">
        <f t="shared" si="31"/>
        <v>0.34039482355704304</v>
      </c>
    </row>
    <row r="405" spans="1:8" x14ac:dyDescent="0.35">
      <c r="A405" s="4">
        <v>44177</v>
      </c>
      <c r="B405" s="2">
        <v>1.6420432814931445</v>
      </c>
      <c r="C405" s="1">
        <f t="shared" si="33"/>
        <v>1.1410533937302232</v>
      </c>
      <c r="D405" s="1">
        <f t="shared" si="31"/>
        <v>0.5009898877629213</v>
      </c>
      <c r="E405" s="1">
        <f t="shared" si="30"/>
        <v>0.14153655705540344</v>
      </c>
      <c r="F405" s="1">
        <f t="shared" si="31"/>
        <v>0.35945333070751784</v>
      </c>
      <c r="G405" s="1">
        <f t="shared" si="32"/>
        <v>1.7321914558292541E-2</v>
      </c>
      <c r="H405" s="1">
        <f t="shared" si="31"/>
        <v>0.34213141614922532</v>
      </c>
    </row>
    <row r="406" spans="1:8" x14ac:dyDescent="0.35">
      <c r="A406" s="4">
        <v>44176</v>
      </c>
      <c r="B406" s="2">
        <v>0.37661694233124798</v>
      </c>
      <c r="C406" s="1">
        <f t="shared" si="33"/>
        <v>-0.1624984622428689</v>
      </c>
      <c r="D406" s="1">
        <f t="shared" si="31"/>
        <v>0.37661694233124798</v>
      </c>
      <c r="E406" s="1">
        <f t="shared" si="30"/>
        <v>2.3597402245857144E-2</v>
      </c>
      <c r="F406" s="1">
        <f t="shared" si="31"/>
        <v>0.35301954008539083</v>
      </c>
      <c r="G406" s="1">
        <f t="shared" si="32"/>
        <v>9.8302474926233521E-3</v>
      </c>
      <c r="H406" s="1">
        <f t="shared" si="31"/>
        <v>0.34318929259276748</v>
      </c>
    </row>
    <row r="407" spans="1:8" x14ac:dyDescent="0.35">
      <c r="A407" s="4">
        <v>44175</v>
      </c>
      <c r="B407" s="2">
        <v>0.27020623655704673</v>
      </c>
      <c r="C407" s="1">
        <f t="shared" si="33"/>
        <v>-0.25273138188232247</v>
      </c>
      <c r="D407" s="1">
        <f t="shared" si="31"/>
        <v>0.27020623655704673</v>
      </c>
      <c r="E407" s="1">
        <f t="shared" si="30"/>
        <v>-8.5213948174931428E-2</v>
      </c>
      <c r="F407" s="1">
        <f t="shared" si="31"/>
        <v>0.27020623655704673</v>
      </c>
      <c r="G407" s="1">
        <f t="shared" si="32"/>
        <v>-7.0614825715354587E-2</v>
      </c>
      <c r="H407" s="1">
        <f t="shared" si="31"/>
        <v>0.27020623655704673</v>
      </c>
    </row>
    <row r="408" spans="1:8" x14ac:dyDescent="0.35">
      <c r="A408" s="4">
        <v>44174</v>
      </c>
      <c r="B408" s="2">
        <v>0.27123865962116339</v>
      </c>
      <c r="C408" s="1">
        <f t="shared" si="33"/>
        <v>-0.23278282104193601</v>
      </c>
      <c r="D408" s="1">
        <f t="shared" si="31"/>
        <v>0.27123865962116339</v>
      </c>
      <c r="E408" s="1">
        <f t="shared" si="30"/>
        <v>-9.1048909162939617E-2</v>
      </c>
      <c r="F408" s="1">
        <f t="shared" si="31"/>
        <v>0.27123865962116339</v>
      </c>
      <c r="G408" s="1">
        <f t="shared" si="32"/>
        <v>-6.4325006587490713E-2</v>
      </c>
      <c r="H408" s="1">
        <f t="shared" si="31"/>
        <v>0.27123865962116339</v>
      </c>
    </row>
    <row r="409" spans="1:8" x14ac:dyDescent="0.35">
      <c r="A409" s="4">
        <v>44173</v>
      </c>
      <c r="B409" s="2">
        <v>0.28032351306021014</v>
      </c>
      <c r="C409" s="1">
        <f t="shared" si="33"/>
        <v>-0.20657993802870833</v>
      </c>
      <c r="D409" s="1">
        <f t="shared" si="31"/>
        <v>0.28032351306021014</v>
      </c>
      <c r="E409" s="1">
        <f t="shared" si="30"/>
        <v>-8.8978094840926614E-2</v>
      </c>
      <c r="F409" s="1">
        <f t="shared" si="31"/>
        <v>0.28032351306021014</v>
      </c>
      <c r="G409" s="1">
        <f t="shared" si="32"/>
        <v>-5.0756459658346423E-2</v>
      </c>
      <c r="H409" s="1">
        <f t="shared" si="31"/>
        <v>0.28032351306021014</v>
      </c>
    </row>
    <row r="410" spans="1:8" x14ac:dyDescent="0.35">
      <c r="A410" s="4">
        <v>44172</v>
      </c>
      <c r="B410" s="2">
        <v>0.28285828225890525</v>
      </c>
      <c r="C410" s="1">
        <f t="shared" si="33"/>
        <v>-0.18864672732281118</v>
      </c>
      <c r="D410" s="1">
        <f t="shared" si="31"/>
        <v>0.28285828225890525</v>
      </c>
      <c r="E410" s="1">
        <f t="shared" si="30"/>
        <v>-9.3555004851008178E-2</v>
      </c>
      <c r="F410" s="1">
        <f t="shared" si="31"/>
        <v>0.28285828225890525</v>
      </c>
      <c r="G410" s="1">
        <f t="shared" si="32"/>
        <v>-4.4510009830226398E-2</v>
      </c>
      <c r="H410" s="1">
        <f t="shared" si="31"/>
        <v>0.28285828225890525</v>
      </c>
    </row>
    <row r="411" spans="1:8" x14ac:dyDescent="0.35">
      <c r="A411" s="4">
        <v>44171</v>
      </c>
      <c r="B411" s="2">
        <v>0.29570558478844761</v>
      </c>
      <c r="C411" s="1">
        <f t="shared" si="33"/>
        <v>-0.16213269408891584</v>
      </c>
      <c r="D411" s="1">
        <f t="shared" si="31"/>
        <v>0.29570558478844761</v>
      </c>
      <c r="E411" s="1">
        <f t="shared" si="30"/>
        <v>-8.7772406666295849E-2</v>
      </c>
      <c r="F411" s="1">
        <f t="shared" si="31"/>
        <v>0.29570558478844761</v>
      </c>
      <c r="G411" s="1">
        <f t="shared" si="32"/>
        <v>-2.8806230408274899E-2</v>
      </c>
      <c r="H411" s="1">
        <f t="shared" si="31"/>
        <v>0.29570558478844761</v>
      </c>
    </row>
    <row r="412" spans="1:8" x14ac:dyDescent="0.35">
      <c r="A412" s="4">
        <v>44170</v>
      </c>
      <c r="B412" s="2">
        <v>0.29954356651120106</v>
      </c>
      <c r="C412" s="1">
        <f t="shared" si="33"/>
        <v>-0.14627868462409696</v>
      </c>
      <c r="D412" s="1">
        <f t="shared" si="31"/>
        <v>0.29954356651120106</v>
      </c>
      <c r="E412" s="1">
        <f t="shared" si="30"/>
        <v>-9.0895512711508794E-2</v>
      </c>
      <c r="F412" s="1">
        <f t="shared" si="31"/>
        <v>0.29954356651120106</v>
      </c>
      <c r="G412" s="1">
        <f t="shared" si="32"/>
        <v>-2.2951705719504077E-2</v>
      </c>
      <c r="H412" s="1">
        <f t="shared" si="31"/>
        <v>0.29954356651120106</v>
      </c>
    </row>
    <row r="413" spans="1:8" x14ac:dyDescent="0.35">
      <c r="A413" s="4">
        <v>44169</v>
      </c>
      <c r="B413" s="2">
        <v>0.30484142829225264</v>
      </c>
      <c r="C413" s="1">
        <f t="shared" si="33"/>
        <v>-0.13020859131302756</v>
      </c>
      <c r="D413" s="1">
        <f t="shared" si="31"/>
        <v>0.30484142829225264</v>
      </c>
      <c r="E413" s="1">
        <f t="shared" si="30"/>
        <v>-9.2752779186212608E-2</v>
      </c>
      <c r="F413" s="1">
        <f t="shared" si="31"/>
        <v>0.30484142829225264</v>
      </c>
      <c r="G413" s="1">
        <f t="shared" si="32"/>
        <v>-1.6131135826279133E-2</v>
      </c>
      <c r="H413" s="1">
        <f t="shared" si="31"/>
        <v>0.30484142829225264</v>
      </c>
    </row>
    <row r="414" spans="1:8" x14ac:dyDescent="0.35">
      <c r="A414" s="4">
        <v>44168</v>
      </c>
      <c r="B414" s="2">
        <v>0.29971773686037967</v>
      </c>
      <c r="C414" s="1">
        <f t="shared" si="33"/>
        <v>-0.12537449996772823</v>
      </c>
      <c r="D414" s="1">
        <f t="shared" si="31"/>
        <v>0.29971773686037967</v>
      </c>
      <c r="E414" s="1">
        <f t="shared" si="30"/>
        <v>-0.10560468344798955</v>
      </c>
      <c r="F414" s="1">
        <f t="shared" si="31"/>
        <v>0.29971773686037967</v>
      </c>
      <c r="G414" s="1">
        <f t="shared" si="32"/>
        <v>-1.9852853642485929E-2</v>
      </c>
      <c r="H414" s="1">
        <f t="shared" si="31"/>
        <v>0.29971773686037967</v>
      </c>
    </row>
    <row r="415" spans="1:8" x14ac:dyDescent="0.35">
      <c r="A415" s="4">
        <v>44167</v>
      </c>
      <c r="B415" s="2">
        <v>0.31957792238571442</v>
      </c>
      <c r="C415" s="1">
        <f t="shared" si="33"/>
        <v>-9.6855983902013928E-2</v>
      </c>
      <c r="D415" s="1">
        <f t="shared" si="31"/>
        <v>0.31957792238571442</v>
      </c>
      <c r="E415" s="1">
        <f t="shared" si="30"/>
        <v>-9.3501897167410655E-2</v>
      </c>
      <c r="F415" s="1">
        <f t="shared" si="31"/>
        <v>0.31957792238571442</v>
      </c>
      <c r="G415" s="1">
        <f t="shared" si="32"/>
        <v>7.5153894883521477E-4</v>
      </c>
      <c r="H415" s="1">
        <f t="shared" si="31"/>
        <v>0.31882638343687919</v>
      </c>
    </row>
    <row r="416" spans="1:8" x14ac:dyDescent="0.35">
      <c r="A416" s="4">
        <v>44166</v>
      </c>
      <c r="B416" s="2">
        <v>0.32620370997277448</v>
      </c>
      <c r="C416" s="1">
        <f t="shared" si="33"/>
        <v>-8.321446455681758E-2</v>
      </c>
      <c r="D416" s="1">
        <f t="shared" si="31"/>
        <v>0.32620370997277448</v>
      </c>
      <c r="E416" s="1">
        <f t="shared" si="30"/>
        <v>-9.4188731475530099E-2</v>
      </c>
      <c r="F416" s="1">
        <f t="shared" si="31"/>
        <v>0.32620370997277448</v>
      </c>
      <c r="G416" s="1">
        <f t="shared" si="32"/>
        <v>7.072494080217883E-3</v>
      </c>
      <c r="H416" s="1">
        <f t="shared" si="31"/>
        <v>0.31913121589255661</v>
      </c>
    </row>
    <row r="417" spans="1:8" x14ac:dyDescent="0.35">
      <c r="A417" s="4">
        <v>44165</v>
      </c>
      <c r="B417" s="2">
        <v>0.3476555135050175</v>
      </c>
      <c r="C417" s="1">
        <f t="shared" si="33"/>
        <v>-5.6326018815272355E-2</v>
      </c>
      <c r="D417" s="1">
        <f t="shared" si="31"/>
        <v>0.3476555135050175</v>
      </c>
      <c r="E417" s="1">
        <f t="shared" si="30"/>
        <v>-7.9504184406212097E-2</v>
      </c>
      <c r="F417" s="1">
        <f t="shared" si="31"/>
        <v>0.3476555135050175</v>
      </c>
      <c r="G417" s="1">
        <f t="shared" si="32"/>
        <v>2.7189417923985451E-2</v>
      </c>
      <c r="H417" s="1">
        <f t="shared" si="31"/>
        <v>0.32046609558103206</v>
      </c>
    </row>
    <row r="418" spans="1:8" x14ac:dyDescent="0.35">
      <c r="A418" s="4">
        <v>44164</v>
      </c>
      <c r="B418" s="2">
        <v>0.39035248607774159</v>
      </c>
      <c r="C418" s="1">
        <f t="shared" si="33"/>
        <v>-1.100573130287999E-2</v>
      </c>
      <c r="D418" s="1">
        <f t="shared" si="31"/>
        <v>0.39035248607774159</v>
      </c>
      <c r="E418" s="1">
        <f t="shared" si="30"/>
        <v>-4.1522538708070447E-2</v>
      </c>
      <c r="F418" s="1">
        <f t="shared" si="31"/>
        <v>0.39035248607774159</v>
      </c>
      <c r="G418" s="1">
        <f t="shared" si="32"/>
        <v>6.6246047680933479E-2</v>
      </c>
      <c r="H418" s="1">
        <f t="shared" si="31"/>
        <v>0.32410643839680808</v>
      </c>
    </row>
    <row r="419" spans="1:8" x14ac:dyDescent="0.35">
      <c r="A419" s="4">
        <v>44163</v>
      </c>
      <c r="B419" s="2">
        <v>0.45350215392969129</v>
      </c>
      <c r="C419" s="1">
        <f t="shared" si="33"/>
        <v>5.0601253852337595E-2</v>
      </c>
      <c r="D419" s="1">
        <f t="shared" si="31"/>
        <v>0.40290090007735369</v>
      </c>
      <c r="E419" s="1">
        <f t="shared" si="30"/>
        <v>-3.1832097549668981E-2</v>
      </c>
      <c r="F419" s="1">
        <f t="shared" si="31"/>
        <v>0.40290090007735369</v>
      </c>
      <c r="G419" s="1">
        <f t="shared" si="32"/>
        <v>7.3355442579490115E-2</v>
      </c>
      <c r="H419" s="1">
        <f t="shared" si="31"/>
        <v>0.32954545749786357</v>
      </c>
    </row>
    <row r="420" spans="1:8" x14ac:dyDescent="0.35">
      <c r="A420" s="4">
        <v>44162</v>
      </c>
      <c r="B420" s="2">
        <v>0.60145555756188085</v>
      </c>
      <c r="C420" s="1">
        <f t="shared" si="33"/>
        <v>0.18921131080939471</v>
      </c>
      <c r="D420" s="1">
        <f t="shared" si="31"/>
        <v>0.41224424675248617</v>
      </c>
      <c r="E420" s="1">
        <f t="shared" si="30"/>
        <v>-2.4690947432274558E-2</v>
      </c>
      <c r="F420" s="1">
        <f t="shared" si="31"/>
        <v>0.41224424675248617</v>
      </c>
      <c r="G420" s="1">
        <f t="shared" si="32"/>
        <v>7.6846755560843374E-2</v>
      </c>
      <c r="H420" s="1">
        <f t="shared" si="31"/>
        <v>0.3353974911916428</v>
      </c>
    </row>
    <row r="421" spans="1:8" x14ac:dyDescent="0.35">
      <c r="A421" s="4">
        <v>44161</v>
      </c>
      <c r="B421" s="2">
        <v>0.90711113320091485</v>
      </c>
      <c r="C421" s="1">
        <f t="shared" si="33"/>
        <v>0.46921395405126032</v>
      </c>
      <c r="D421" s="1">
        <f t="shared" si="31"/>
        <v>0.43789717914965454</v>
      </c>
      <c r="E421" s="2">
        <v>0</v>
      </c>
      <c r="F421" s="1">
        <f t="shared" si="31"/>
        <v>0.43789717914965454</v>
      </c>
      <c r="G421" s="1">
        <f t="shared" si="32"/>
        <v>9.5774196326054675E-2</v>
      </c>
      <c r="H421" s="1">
        <f t="shared" si="31"/>
        <v>0.34212298282359987</v>
      </c>
    </row>
  </sheetData>
  <sortState xmlns:xlrd2="http://schemas.microsoft.com/office/spreadsheetml/2017/richdata2" ref="A393:B421">
    <sortCondition descending="1" ref="A393:A42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4FA3-424E-463E-9A71-FCF7C9FBF054}">
  <dimension ref="A1:R130"/>
  <sheetViews>
    <sheetView topLeftCell="A29" zoomScale="96" zoomScaleNormal="96" workbookViewId="0">
      <selection activeCell="AG52" sqref="AG52"/>
    </sheetView>
  </sheetViews>
  <sheetFormatPr defaultRowHeight="14.5" x14ac:dyDescent="0.35"/>
  <sheetData>
    <row r="1" spans="1:18" x14ac:dyDescent="0.35">
      <c r="A1" s="43" t="s">
        <v>38</v>
      </c>
      <c r="D1" t="s">
        <v>34</v>
      </c>
      <c r="K1" s="43" t="s">
        <v>37</v>
      </c>
      <c r="O1" t="s">
        <v>35</v>
      </c>
    </row>
    <row r="2" spans="1:18" x14ac:dyDescent="0.35">
      <c r="A2" t="s">
        <v>4</v>
      </c>
      <c r="B2">
        <v>0.98</v>
      </c>
      <c r="C2" t="s">
        <v>6</v>
      </c>
      <c r="E2" t="s">
        <v>7</v>
      </c>
      <c r="G2" t="s">
        <v>8</v>
      </c>
      <c r="M2" t="s">
        <v>6</v>
      </c>
      <c r="O2" t="s">
        <v>7</v>
      </c>
      <c r="Q2" t="s">
        <v>8</v>
      </c>
    </row>
    <row r="3" spans="1:18" x14ac:dyDescent="0.35">
      <c r="B3" t="s">
        <v>2</v>
      </c>
      <c r="C3" t="s">
        <v>3</v>
      </c>
      <c r="D3" t="s">
        <v>5</v>
      </c>
      <c r="E3" t="s">
        <v>3</v>
      </c>
      <c r="F3" t="s">
        <v>5</v>
      </c>
      <c r="G3" t="s">
        <v>3</v>
      </c>
      <c r="H3" t="s">
        <v>5</v>
      </c>
      <c r="L3" t="s">
        <v>2</v>
      </c>
      <c r="M3" t="s">
        <v>3</v>
      </c>
      <c r="N3" t="s">
        <v>5</v>
      </c>
      <c r="O3" t="s">
        <v>3</v>
      </c>
      <c r="P3" t="s">
        <v>5</v>
      </c>
      <c r="Q3" t="s">
        <v>3</v>
      </c>
      <c r="R3" t="s">
        <v>5</v>
      </c>
    </row>
    <row r="4" spans="1:18" x14ac:dyDescent="0.35">
      <c r="A4">
        <v>31</v>
      </c>
      <c r="B4">
        <v>96</v>
      </c>
      <c r="C4" s="44">
        <f>B4</f>
        <v>96</v>
      </c>
      <c r="D4" s="45">
        <f>B4-MAX(0,C4)</f>
        <v>0</v>
      </c>
      <c r="E4" s="45">
        <f t="shared" ref="E4:E35" si="0">alpha*E5+(1+alpha)/2*(D4-D5)</f>
        <v>-63.309173834499823</v>
      </c>
      <c r="F4" s="45">
        <f>D4-MAX(0,E4)</f>
        <v>0</v>
      </c>
      <c r="G4" s="44">
        <f>F4</f>
        <v>0</v>
      </c>
      <c r="H4" s="45">
        <f>F4-MAX(0,G4)</f>
        <v>0</v>
      </c>
      <c r="K4">
        <v>31</v>
      </c>
      <c r="L4">
        <v>96</v>
      </c>
      <c r="M4" s="44">
        <f>L4</f>
        <v>96</v>
      </c>
      <c r="N4" s="45">
        <f>L4-M4</f>
        <v>0</v>
      </c>
      <c r="O4" s="45">
        <f>MAX(alpha*O5+(1+alpha)/2*(N4-N5),0)</f>
        <v>0</v>
      </c>
      <c r="P4" s="45">
        <f t="shared" ref="P4:R67" si="1">N4-O4</f>
        <v>0</v>
      </c>
      <c r="Q4" s="44">
        <f>P4</f>
        <v>0</v>
      </c>
      <c r="R4" s="45">
        <f t="shared" si="1"/>
        <v>0</v>
      </c>
    </row>
    <row r="5" spans="1:18" x14ac:dyDescent="0.35">
      <c r="A5">
        <v>30</v>
      </c>
      <c r="B5">
        <v>158</v>
      </c>
      <c r="C5" s="45">
        <f t="shared" ref="C5:C36" si="2">alpha*C4+(1+alpha)/2*(B5-B4)</f>
        <v>155.46</v>
      </c>
      <c r="D5" s="45">
        <f t="shared" ref="D5:H68" si="3">B5-MAX(0,C5)</f>
        <v>2.539999999999992</v>
      </c>
      <c r="E5" s="45">
        <f t="shared" si="0"/>
        <v>-62.035279422959007</v>
      </c>
      <c r="F5" s="45">
        <f t="shared" si="3"/>
        <v>2.539999999999992</v>
      </c>
      <c r="G5" s="45">
        <f t="shared" ref="G5:G36" si="4">alpha*G4+(1+alpha)/2*(F5-F4)</f>
        <v>2.5145999999999922</v>
      </c>
      <c r="H5" s="45">
        <f t="shared" si="3"/>
        <v>2.5399999999999867E-2</v>
      </c>
      <c r="K5">
        <v>30</v>
      </c>
      <c r="L5">
        <v>158</v>
      </c>
      <c r="M5" s="45">
        <f>MAX(alpha*M4+(1+alpha)/2*(L5-L4),0)</f>
        <v>155.46</v>
      </c>
      <c r="N5" s="45">
        <f t="shared" ref="N5:N68" si="5">L5-M5</f>
        <v>2.539999999999992</v>
      </c>
      <c r="O5" s="45">
        <f>MAX(alpha*O6+(1+alpha)/2*(N5-N6),0)</f>
        <v>0</v>
      </c>
      <c r="P5" s="45">
        <f t="shared" si="1"/>
        <v>2.539999999999992</v>
      </c>
      <c r="Q5" s="45">
        <f>MAX(alpha*Q4+(1+alpha)/2*(P5-P4),0)</f>
        <v>2.5145999999999922</v>
      </c>
      <c r="R5" s="45">
        <f t="shared" si="1"/>
        <v>2.5399999999999867E-2</v>
      </c>
    </row>
    <row r="6" spans="1:18" x14ac:dyDescent="0.35">
      <c r="A6">
        <v>29</v>
      </c>
      <c r="B6">
        <v>382</v>
      </c>
      <c r="C6" s="45">
        <f t="shared" si="2"/>
        <v>374.11079999999998</v>
      </c>
      <c r="D6" s="45">
        <f t="shared" si="3"/>
        <v>7.8892000000000166</v>
      </c>
      <c r="E6" s="45">
        <f t="shared" si="0"/>
        <v>-57.897521860162229</v>
      </c>
      <c r="F6" s="45">
        <f t="shared" si="3"/>
        <v>7.8892000000000166</v>
      </c>
      <c r="G6" s="45">
        <f t="shared" si="4"/>
        <v>7.7600160000000162</v>
      </c>
      <c r="H6" s="45">
        <f t="shared" si="3"/>
        <v>0.12918400000000041</v>
      </c>
      <c r="K6">
        <v>29</v>
      </c>
      <c r="L6">
        <v>382</v>
      </c>
      <c r="M6" s="45">
        <f>MAX(alpha*M5+(1+alpha)/2*(L6-L5),0)</f>
        <v>374.11079999999998</v>
      </c>
      <c r="N6" s="45">
        <f t="shared" si="5"/>
        <v>7.8892000000000166</v>
      </c>
      <c r="O6" s="45">
        <f>MAX(alpha*O7+(1+alpha)/2*(N6-N7),0)</f>
        <v>0</v>
      </c>
      <c r="P6" s="45">
        <f t="shared" si="1"/>
        <v>7.8892000000000166</v>
      </c>
      <c r="Q6" s="45">
        <f>MAX(alpha*Q5+(1+alpha)/2*(P6-P5),0)</f>
        <v>7.7600160000000162</v>
      </c>
      <c r="R6" s="45">
        <f t="shared" si="1"/>
        <v>0.12918400000000041</v>
      </c>
    </row>
    <row r="7" spans="1:18" x14ac:dyDescent="0.35">
      <c r="A7">
        <v>28</v>
      </c>
      <c r="B7">
        <v>934</v>
      </c>
      <c r="C7" s="45">
        <f t="shared" si="2"/>
        <v>913.10858400000006</v>
      </c>
      <c r="D7" s="45">
        <f t="shared" si="3"/>
        <v>20.891415999999936</v>
      </c>
      <c r="E7" s="45">
        <f t="shared" si="0"/>
        <v>-45.944212265471741</v>
      </c>
      <c r="F7" s="45">
        <f t="shared" si="3"/>
        <v>20.891415999999936</v>
      </c>
      <c r="G7" s="45">
        <f t="shared" si="4"/>
        <v>20.477009519999935</v>
      </c>
      <c r="H7" s="45">
        <f t="shared" si="3"/>
        <v>0.41440648000000024</v>
      </c>
      <c r="K7">
        <v>28</v>
      </c>
      <c r="L7">
        <v>934</v>
      </c>
      <c r="M7" s="45">
        <f>MAX(alpha*M6+(1+alpha)/2*(L7-L6),0)</f>
        <v>913.10858400000006</v>
      </c>
      <c r="N7" s="45">
        <f t="shared" si="5"/>
        <v>20.891415999999936</v>
      </c>
      <c r="O7" s="45">
        <f>MAX(alpha*O8+(1+alpha)/2*(N7-N8),0)</f>
        <v>0.68266617654145101</v>
      </c>
      <c r="P7" s="45">
        <f t="shared" si="1"/>
        <v>20.208749823458483</v>
      </c>
      <c r="Q7" s="45">
        <f>MAX(alpha*Q6+(1+alpha)/2*(P7-P6),0)</f>
        <v>19.801170005223895</v>
      </c>
      <c r="R7" s="45">
        <f t="shared" si="1"/>
        <v>0.40757981823458778</v>
      </c>
    </row>
    <row r="8" spans="1:18" x14ac:dyDescent="0.35">
      <c r="A8">
        <v>27</v>
      </c>
      <c r="B8">
        <v>119</v>
      </c>
      <c r="C8" s="45">
        <f t="shared" si="2"/>
        <v>87.99641231999999</v>
      </c>
      <c r="D8" s="45">
        <f t="shared" si="3"/>
        <v>31.00358768000001</v>
      </c>
      <c r="E8" s="45">
        <f t="shared" si="0"/>
        <v>-36.66649214517517</v>
      </c>
      <c r="F8" s="45">
        <f t="shared" si="3"/>
        <v>31.00358768000001</v>
      </c>
      <c r="G8" s="45">
        <f t="shared" si="4"/>
        <v>30.07851929280001</v>
      </c>
      <c r="H8" s="45">
        <f t="shared" si="3"/>
        <v>0.92506838719999962</v>
      </c>
      <c r="K8">
        <v>27</v>
      </c>
      <c r="L8">
        <v>119</v>
      </c>
      <c r="M8" s="45">
        <f>MAX(alpha*M7+(1+alpha)/2*(L8-L7),0)</f>
        <v>87.99641231999999</v>
      </c>
      <c r="N8" s="45">
        <f t="shared" si="5"/>
        <v>31.00358768000001</v>
      </c>
      <c r="O8" s="45">
        <f>MAX(alpha*O9+(1+alpha)/2*(N8-N9),0)</f>
        <v>10.911955244634207</v>
      </c>
      <c r="P8" s="45">
        <f t="shared" si="1"/>
        <v>20.091632435365803</v>
      </c>
      <c r="Q8" s="45">
        <f>MAX(alpha*Q7+(1+alpha)/2*(P8-P7),0)</f>
        <v>19.289200390907663</v>
      </c>
      <c r="R8" s="45">
        <f t="shared" si="1"/>
        <v>0.80243204445813987</v>
      </c>
    </row>
    <row r="9" spans="1:18" x14ac:dyDescent="0.35">
      <c r="A9">
        <v>26</v>
      </c>
      <c r="B9">
        <v>141</v>
      </c>
      <c r="C9" s="45">
        <f t="shared" si="2"/>
        <v>108.01648407359998</v>
      </c>
      <c r="D9" s="45">
        <f t="shared" si="3"/>
        <v>32.983515926400017</v>
      </c>
      <c r="E9" s="45">
        <f t="shared" si="0"/>
        <v>-35.414656307386899</v>
      </c>
      <c r="F9" s="45">
        <f t="shared" si="3"/>
        <v>32.983515926400017</v>
      </c>
      <c r="G9" s="45">
        <f t="shared" si="4"/>
        <v>31.437077870880017</v>
      </c>
      <c r="H9" s="45">
        <f t="shared" si="3"/>
        <v>1.5464380555199995</v>
      </c>
      <c r="K9">
        <v>26</v>
      </c>
      <c r="L9">
        <v>141</v>
      </c>
      <c r="M9" s="45">
        <f>MAX(alpha*M8+(1+alpha)/2*(L9-L8),0)</f>
        <v>108.01648407359998</v>
      </c>
      <c r="N9" s="45">
        <f t="shared" si="5"/>
        <v>32.983515926400017</v>
      </c>
      <c r="O9" s="45">
        <f>MAX(alpha*O10+(1+alpha)/2*(N9-N10),0)</f>
        <v>13.134779804663484</v>
      </c>
      <c r="P9" s="45">
        <f t="shared" si="1"/>
        <v>19.848736121736533</v>
      </c>
      <c r="Q9" s="45">
        <f>MAX(alpha*Q8+(1+alpha)/2*(P9-P8),0)</f>
        <v>18.662949032596533</v>
      </c>
      <c r="R9" s="45">
        <f t="shared" si="1"/>
        <v>1.1857870891399998</v>
      </c>
    </row>
    <row r="10" spans="1:18" x14ac:dyDescent="0.35">
      <c r="A10">
        <v>25</v>
      </c>
      <c r="B10">
        <v>256</v>
      </c>
      <c r="C10" s="45">
        <f t="shared" si="2"/>
        <v>219.70615439212798</v>
      </c>
      <c r="D10" s="45">
        <f t="shared" si="3"/>
        <v>36.293845607872015</v>
      </c>
      <c r="E10" s="45">
        <f t="shared" si="0"/>
        <v>-32.793295839520027</v>
      </c>
      <c r="F10" s="45">
        <f t="shared" si="3"/>
        <v>36.293845607872015</v>
      </c>
      <c r="G10" s="45">
        <f t="shared" si="4"/>
        <v>34.085562698119695</v>
      </c>
      <c r="H10" s="45">
        <f t="shared" si="3"/>
        <v>2.2082829097523202</v>
      </c>
      <c r="K10">
        <v>25</v>
      </c>
      <c r="L10">
        <v>256</v>
      </c>
      <c r="M10" s="45">
        <f>MAX(alpha*M9+(1+alpha)/2*(L10-L9),0)</f>
        <v>219.70615439212798</v>
      </c>
      <c r="N10" s="45">
        <f t="shared" si="5"/>
        <v>36.293845607872015</v>
      </c>
      <c r="O10" s="45">
        <f>MAX(alpha*O11+(1+alpha)/2*(N10-N11),0)</f>
        <v>16.746945091143637</v>
      </c>
      <c r="P10" s="45">
        <f t="shared" si="1"/>
        <v>19.546900516728378</v>
      </c>
      <c r="Q10" s="45">
        <f>MAX(alpha*Q9+(1+alpha)/2*(P10-P9),0)</f>
        <v>17.99087280298653</v>
      </c>
      <c r="R10" s="45">
        <f t="shared" si="1"/>
        <v>1.5560277137418481</v>
      </c>
    </row>
    <row r="11" spans="1:18" x14ac:dyDescent="0.35">
      <c r="A11">
        <v>24</v>
      </c>
      <c r="B11">
        <v>245</v>
      </c>
      <c r="C11" s="45">
        <f t="shared" si="2"/>
        <v>204.42203130428544</v>
      </c>
      <c r="D11" s="45">
        <f t="shared" si="3"/>
        <v>40.57796869571456</v>
      </c>
      <c r="E11" s="45">
        <f t="shared" si="0"/>
        <v>-29.134708145465215</v>
      </c>
      <c r="F11" s="45">
        <f t="shared" si="3"/>
        <v>40.57796869571456</v>
      </c>
      <c r="G11" s="45">
        <f t="shared" si="4"/>
        <v>37.645133301121419</v>
      </c>
      <c r="H11" s="45">
        <f t="shared" si="3"/>
        <v>2.9328353945931411</v>
      </c>
      <c r="K11">
        <v>24</v>
      </c>
      <c r="L11">
        <v>245</v>
      </c>
      <c r="M11" s="45">
        <f>MAX(alpha*M10+(1+alpha)/2*(L11-L10),0)</f>
        <v>204.42203130428544</v>
      </c>
      <c r="N11" s="45">
        <f t="shared" si="5"/>
        <v>40.57796869571456</v>
      </c>
      <c r="O11" s="45">
        <f>MAX(alpha*O12+(1+alpha)/2*(N11-N12),0)</f>
        <v>21.416558110314035</v>
      </c>
      <c r="P11" s="45">
        <f t="shared" si="1"/>
        <v>19.161410585400525</v>
      </c>
      <c r="Q11" s="45">
        <f>MAX(alpha*Q10+(1+alpha)/2*(P11-P10),0)</f>
        <v>17.249420314912225</v>
      </c>
      <c r="R11" s="45">
        <f t="shared" si="1"/>
        <v>1.9119902704882996</v>
      </c>
    </row>
    <row r="12" spans="1:18" x14ac:dyDescent="0.35">
      <c r="A12">
        <v>23</v>
      </c>
      <c r="B12">
        <v>260</v>
      </c>
      <c r="C12" s="45">
        <f t="shared" si="2"/>
        <v>215.18359067819972</v>
      </c>
      <c r="D12" s="45">
        <f t="shared" si="3"/>
        <v>44.816409321800279</v>
      </c>
      <c r="E12" s="45">
        <f t="shared" si="0"/>
        <v>-25.447604005755462</v>
      </c>
      <c r="F12" s="45">
        <f t="shared" si="3"/>
        <v>44.816409321800279</v>
      </c>
      <c r="G12" s="45">
        <f t="shared" si="4"/>
        <v>41.088286854923851</v>
      </c>
      <c r="H12" s="45">
        <f t="shared" si="3"/>
        <v>3.7281224668764281</v>
      </c>
      <c r="K12">
        <v>23</v>
      </c>
      <c r="L12">
        <v>260</v>
      </c>
      <c r="M12" s="45">
        <f>MAX(alpha*M11+(1+alpha)/2*(L12-L11),0)</f>
        <v>215.18359067819972</v>
      </c>
      <c r="N12" s="45">
        <f t="shared" si="5"/>
        <v>44.816409321800279</v>
      </c>
      <c r="O12" s="45">
        <f>MAX(alpha*O13+(1+alpha)/2*(N12-N13),0)</f>
        <v>26.135320745039692</v>
      </c>
      <c r="P12" s="45">
        <f t="shared" si="1"/>
        <v>18.681088576760587</v>
      </c>
      <c r="Q12" s="45">
        <f>MAX(alpha*Q11+(1+alpha)/2*(P12-P11),0)</f>
        <v>16.428913120060439</v>
      </c>
      <c r="R12" s="45">
        <f t="shared" si="1"/>
        <v>2.2521754567001473</v>
      </c>
    </row>
    <row r="13" spans="1:18" x14ac:dyDescent="0.35">
      <c r="A13">
        <v>22</v>
      </c>
      <c r="B13">
        <v>275</v>
      </c>
      <c r="C13" s="45">
        <f t="shared" si="2"/>
        <v>225.72991886463572</v>
      </c>
      <c r="D13" s="45">
        <f t="shared" si="3"/>
        <v>49.270081135364279</v>
      </c>
      <c r="E13" s="45">
        <f t="shared" si="0"/>
        <v>-21.467825418701125</v>
      </c>
      <c r="F13" s="45">
        <f t="shared" si="3"/>
        <v>49.270081135364279</v>
      </c>
      <c r="G13" s="45">
        <f t="shared" si="4"/>
        <v>44.675656213253731</v>
      </c>
      <c r="H13" s="45">
        <f t="shared" si="3"/>
        <v>4.594424922110548</v>
      </c>
      <c r="K13">
        <v>22</v>
      </c>
      <c r="L13">
        <v>275</v>
      </c>
      <c r="M13" s="45">
        <f>MAX(alpha*M12+(1+alpha)/2*(L13-L12),0)</f>
        <v>225.72991886463572</v>
      </c>
      <c r="N13" s="45">
        <f t="shared" si="5"/>
        <v>49.270081135364279</v>
      </c>
      <c r="O13" s="45">
        <f>MAX(alpha*O14+(1+alpha)/2*(N13-N14),0)</f>
        <v>31.16781208211026</v>
      </c>
      <c r="P13" s="45">
        <f t="shared" si="1"/>
        <v>18.10226905325402</v>
      </c>
      <c r="Q13" s="45">
        <f>MAX(alpha*Q12+(1+alpha)/2*(P13-P12),0)</f>
        <v>15.52730352938773</v>
      </c>
      <c r="R13" s="45">
        <f t="shared" si="1"/>
        <v>2.5749655238662896</v>
      </c>
    </row>
    <row r="14" spans="1:18" x14ac:dyDescent="0.35">
      <c r="A14">
        <v>21</v>
      </c>
      <c r="B14">
        <v>310</v>
      </c>
      <c r="C14" s="45">
        <f t="shared" si="2"/>
        <v>255.86532048734301</v>
      </c>
      <c r="D14" s="45">
        <f t="shared" si="3"/>
        <v>54.134679512656987</v>
      </c>
      <c r="E14" s="45">
        <f t="shared" si="0"/>
        <v>-16.991707168552395</v>
      </c>
      <c r="F14" s="45">
        <f t="shared" si="3"/>
        <v>54.134679512656987</v>
      </c>
      <c r="G14" s="45">
        <f t="shared" si="4"/>
        <v>48.598095482508434</v>
      </c>
      <c r="H14" s="45">
        <f t="shared" si="3"/>
        <v>5.5365840301485534</v>
      </c>
      <c r="K14">
        <v>21</v>
      </c>
      <c r="L14">
        <v>310</v>
      </c>
      <c r="M14" s="45">
        <f>MAX(alpha*M13+(1+alpha)/2*(L14-L13),0)</f>
        <v>255.86532048734301</v>
      </c>
      <c r="N14" s="45">
        <f t="shared" si="5"/>
        <v>54.134679512656987</v>
      </c>
      <c r="O14" s="45">
        <f>MAX(alpha*O15+(1+alpha)/2*(N14-N15),0)</f>
        <v>36.718127015949023</v>
      </c>
      <c r="P14" s="45">
        <f t="shared" si="1"/>
        <v>17.416552496707965</v>
      </c>
      <c r="Q14" s="45">
        <f>MAX(alpha*Q13+(1+alpha)/2*(P14-P13),0)</f>
        <v>14.537898067819381</v>
      </c>
      <c r="R14" s="45">
        <f t="shared" si="1"/>
        <v>2.8786544288885842</v>
      </c>
    </row>
    <row r="15" spans="1:18" x14ac:dyDescent="0.35">
      <c r="A15">
        <v>20</v>
      </c>
      <c r="B15">
        <v>393</v>
      </c>
      <c r="C15" s="45">
        <f t="shared" si="2"/>
        <v>332.91801407759613</v>
      </c>
      <c r="D15" s="45">
        <f t="shared" si="3"/>
        <v>60.081985922403874</v>
      </c>
      <c r="E15" s="45">
        <f t="shared" si="0"/>
        <v>-11.330483492758141</v>
      </c>
      <c r="F15" s="45">
        <f t="shared" si="3"/>
        <v>60.081985922403874</v>
      </c>
      <c r="G15" s="45">
        <f t="shared" si="4"/>
        <v>53.513966918507684</v>
      </c>
      <c r="H15" s="45">
        <f t="shared" si="3"/>
        <v>6.5680190038961896</v>
      </c>
      <c r="K15">
        <v>20</v>
      </c>
      <c r="L15">
        <v>393</v>
      </c>
      <c r="M15" s="45">
        <f>MAX(alpha*M14+(1+alpha)/2*(L15-L14),0)</f>
        <v>332.91801407759613</v>
      </c>
      <c r="N15" s="45">
        <f t="shared" si="5"/>
        <v>60.081985922403874</v>
      </c>
      <c r="O15" s="45">
        <f>MAX(alpha*O16+(1+alpha)/2*(N15-N16),0)</f>
        <v>43.475469756733105</v>
      </c>
      <c r="P15" s="45">
        <f t="shared" si="1"/>
        <v>16.606516165670769</v>
      </c>
      <c r="Q15" s="45">
        <f>MAX(alpha*Q14+(1+alpha)/2*(P15-P14),0)</f>
        <v>13.44520413873617</v>
      </c>
      <c r="R15" s="45">
        <f t="shared" si="1"/>
        <v>3.1613120269345991</v>
      </c>
    </row>
    <row r="16" spans="1:18" x14ac:dyDescent="0.35">
      <c r="A16">
        <v>19</v>
      </c>
      <c r="B16">
        <v>342</v>
      </c>
      <c r="C16" s="45">
        <f t="shared" si="2"/>
        <v>275.76965379604417</v>
      </c>
      <c r="D16" s="45">
        <f t="shared" si="3"/>
        <v>66.230346203955833</v>
      </c>
      <c r="E16" s="45">
        <f t="shared" si="0"/>
        <v>-5.3506191979813291</v>
      </c>
      <c r="F16" s="45">
        <f t="shared" si="3"/>
        <v>66.230346203955833</v>
      </c>
      <c r="G16" s="45">
        <f t="shared" si="4"/>
        <v>58.530564258873966</v>
      </c>
      <c r="H16" s="45">
        <f t="shared" si="3"/>
        <v>7.6997819450818668</v>
      </c>
      <c r="K16">
        <v>19</v>
      </c>
      <c r="L16">
        <v>342</v>
      </c>
      <c r="M16" s="45">
        <f>MAX(alpha*M15+(1+alpha)/2*(L16-L15),0)</f>
        <v>275.76965379604417</v>
      </c>
      <c r="N16" s="45">
        <f t="shared" si="5"/>
        <v>66.230346203955833</v>
      </c>
      <c r="O16" s="45">
        <f>MAX(alpha*O17+(1+alpha)/2*(N16-N17),0)</f>
        <v>50.573822893336271</v>
      </c>
      <c r="P16" s="45">
        <f t="shared" si="1"/>
        <v>15.656523310619562</v>
      </c>
      <c r="Q16" s="45">
        <f>MAX(alpha*Q15+(1+alpha)/2*(P16-P15),0)</f>
        <v>12.235807129460753</v>
      </c>
      <c r="R16" s="45">
        <f t="shared" si="1"/>
        <v>3.4207161811588094</v>
      </c>
    </row>
    <row r="17" spans="1:18" x14ac:dyDescent="0.35">
      <c r="A17">
        <v>18</v>
      </c>
      <c r="B17">
        <v>82</v>
      </c>
      <c r="C17" s="45">
        <f t="shared" si="2"/>
        <v>12.854260720123307</v>
      </c>
      <c r="D17" s="45">
        <f t="shared" si="3"/>
        <v>69.145739279876693</v>
      </c>
      <c r="E17" s="45">
        <f t="shared" si="0"/>
        <v>-2.514673523285385</v>
      </c>
      <c r="F17" s="45">
        <f t="shared" si="3"/>
        <v>69.145739279876693</v>
      </c>
      <c r="G17" s="45">
        <f t="shared" si="4"/>
        <v>60.24619211885814</v>
      </c>
      <c r="H17" s="45">
        <f t="shared" si="3"/>
        <v>8.8995471610185533</v>
      </c>
      <c r="K17">
        <v>18</v>
      </c>
      <c r="L17">
        <v>82</v>
      </c>
      <c r="M17" s="45">
        <f>MAX(alpha*M16+(1+alpha)/2*(L17-L16),0)</f>
        <v>12.854260720123307</v>
      </c>
      <c r="N17" s="45">
        <f t="shared" si="5"/>
        <v>69.145739279876693</v>
      </c>
      <c r="O17" s="45">
        <f>MAX(alpha*O18+(1+alpha)/2*(N17-N18),0)</f>
        <v>54.551083712752984</v>
      </c>
      <c r="P17" s="45">
        <f t="shared" si="1"/>
        <v>14.594655567123709</v>
      </c>
      <c r="Q17" s="45">
        <f>MAX(alpha*Q16+(1+alpha)/2*(P17-P16),0)</f>
        <v>10.939841920810643</v>
      </c>
      <c r="R17" s="45">
        <f t="shared" si="1"/>
        <v>3.654813646313066</v>
      </c>
    </row>
    <row r="18" spans="1:18" x14ac:dyDescent="0.35">
      <c r="A18">
        <v>17</v>
      </c>
      <c r="B18">
        <v>73</v>
      </c>
      <c r="C18" s="45">
        <f t="shared" si="2"/>
        <v>3.6871755057208411</v>
      </c>
      <c r="D18" s="45">
        <f t="shared" si="3"/>
        <v>69.312824494279155</v>
      </c>
      <c r="E18" s="45">
        <f t="shared" si="0"/>
        <v>-2.3972032255377016</v>
      </c>
      <c r="F18" s="45">
        <f t="shared" si="3"/>
        <v>69.312824494279155</v>
      </c>
      <c r="G18" s="45">
        <f t="shared" si="4"/>
        <v>59.206682638739416</v>
      </c>
      <c r="H18" s="45">
        <f t="shared" si="3"/>
        <v>10.10614185553974</v>
      </c>
      <c r="K18">
        <v>17</v>
      </c>
      <c r="L18">
        <v>73</v>
      </c>
      <c r="M18" s="45">
        <f>MAX(alpha*M17+(1+alpha)/2*(L18-L17),0)</f>
        <v>3.6871755057208411</v>
      </c>
      <c r="N18" s="45">
        <f t="shared" si="5"/>
        <v>69.312824494279155</v>
      </c>
      <c r="O18" s="45">
        <f>MAX(alpha*O19+(1+alpha)/2*(N18-N19),0)</f>
        <v>55.833161301032064</v>
      </c>
      <c r="P18" s="45">
        <f t="shared" si="1"/>
        <v>13.479663193247092</v>
      </c>
      <c r="Q18" s="45">
        <f>MAX(alpha*Q17+(1+alpha)/2*(P18-P17),0)</f>
        <v>9.6172026322565802</v>
      </c>
      <c r="R18" s="45">
        <f t="shared" si="1"/>
        <v>3.8624605609905114</v>
      </c>
    </row>
    <row r="19" spans="1:18" x14ac:dyDescent="0.35">
      <c r="A19">
        <v>16</v>
      </c>
      <c r="B19">
        <v>35</v>
      </c>
      <c r="C19" s="45">
        <f t="shared" si="2"/>
        <v>-34.006568004393571</v>
      </c>
      <c r="D19" s="45">
        <f t="shared" si="3"/>
        <v>35</v>
      </c>
      <c r="E19" s="45">
        <f t="shared" si="0"/>
        <v>-37.109081096810272</v>
      </c>
      <c r="F19" s="45">
        <f t="shared" si="3"/>
        <v>35</v>
      </c>
      <c r="G19" s="45">
        <f t="shared" si="4"/>
        <v>24.05285273662826</v>
      </c>
      <c r="H19" s="45">
        <f t="shared" si="3"/>
        <v>10.94714726337174</v>
      </c>
      <c r="K19">
        <v>16</v>
      </c>
      <c r="L19">
        <v>35</v>
      </c>
      <c r="M19" s="45">
        <f>MAX(alpha*M18+(1+alpha)/2*(L19-L18),0)</f>
        <v>0</v>
      </c>
      <c r="N19" s="45">
        <f t="shared" si="5"/>
        <v>35</v>
      </c>
      <c r="O19" s="45">
        <f>MAX(alpha*O20+(1+alpha)/2*(N19-N20),0)</f>
        <v>22.309658216016022</v>
      </c>
      <c r="P19" s="45">
        <f t="shared" si="1"/>
        <v>12.690341783983978</v>
      </c>
      <c r="Q19" s="45">
        <f>MAX(alpha*Q18+(1+alpha)/2*(P19-P18),0)</f>
        <v>8.6434303844409666</v>
      </c>
      <c r="R19" s="45">
        <f t="shared" si="1"/>
        <v>4.0469113995430117</v>
      </c>
    </row>
    <row r="20" spans="1:18" x14ac:dyDescent="0.35">
      <c r="A20">
        <v>15</v>
      </c>
      <c r="B20">
        <v>40</v>
      </c>
      <c r="C20" s="45">
        <f t="shared" si="2"/>
        <v>-28.376436644305702</v>
      </c>
      <c r="D20" s="45">
        <f t="shared" si="3"/>
        <v>40</v>
      </c>
      <c r="E20" s="45">
        <f t="shared" si="0"/>
        <v>-32.81538887429619</v>
      </c>
      <c r="F20" s="45">
        <f t="shared" si="3"/>
        <v>40</v>
      </c>
      <c r="G20" s="45">
        <f t="shared" si="4"/>
        <v>28.521795681895693</v>
      </c>
      <c r="H20" s="45">
        <f t="shared" si="3"/>
        <v>11.478204318104307</v>
      </c>
      <c r="K20">
        <v>15</v>
      </c>
      <c r="L20">
        <v>40</v>
      </c>
      <c r="M20" s="45">
        <f>MAX(alpha*M19+(1+alpha)/2*(L20-L19),0)</f>
        <v>4.95</v>
      </c>
      <c r="N20" s="45">
        <f t="shared" si="5"/>
        <v>35.049999999999997</v>
      </c>
      <c r="O20" s="45">
        <f>MAX(alpha*O21+(1+alpha)/2*(N20-N21),0)</f>
        <v>22.815467567363285</v>
      </c>
      <c r="P20" s="45">
        <f t="shared" si="1"/>
        <v>12.234532432636712</v>
      </c>
      <c r="Q20" s="45">
        <f>MAX(alpha*Q19+(1+alpha)/2*(P20-P19),0)</f>
        <v>8.0193105189183527</v>
      </c>
      <c r="R20" s="45">
        <f t="shared" si="1"/>
        <v>4.2152219137183593</v>
      </c>
    </row>
    <row r="21" spans="1:18" x14ac:dyDescent="0.35">
      <c r="A21">
        <v>14</v>
      </c>
      <c r="B21">
        <v>48</v>
      </c>
      <c r="C21" s="45">
        <f t="shared" si="2"/>
        <v>-19.888907911419587</v>
      </c>
      <c r="D21" s="45">
        <f t="shared" si="3"/>
        <v>48</v>
      </c>
      <c r="E21" s="45">
        <f t="shared" si="0"/>
        <v>-25.40345803499611</v>
      </c>
      <c r="F21" s="45">
        <f t="shared" si="3"/>
        <v>48</v>
      </c>
      <c r="G21" s="45">
        <f t="shared" si="4"/>
        <v>35.871359768257776</v>
      </c>
      <c r="H21" s="45">
        <f t="shared" si="3"/>
        <v>12.128640231742224</v>
      </c>
      <c r="K21">
        <v>14</v>
      </c>
      <c r="L21">
        <v>48</v>
      </c>
      <c r="M21" s="45">
        <f>MAX(alpha*M20+(1+alpha)/2*(L21-L20),0)</f>
        <v>12.771000000000001</v>
      </c>
      <c r="N21" s="45">
        <f t="shared" si="5"/>
        <v>35.228999999999999</v>
      </c>
      <c r="O21" s="45">
        <f>MAX(alpha*O22+(1+alpha)/2*(N21-N22),0)</f>
        <v>23.461915885064581</v>
      </c>
      <c r="P21" s="45">
        <f t="shared" si="1"/>
        <v>11.767084114935418</v>
      </c>
      <c r="Q21" s="45">
        <f>MAX(alpha*Q20+(1+alpha)/2*(P21-P20),0)</f>
        <v>7.3961504740157045</v>
      </c>
      <c r="R21" s="45">
        <f t="shared" si="1"/>
        <v>4.3709336409197137</v>
      </c>
    </row>
    <row r="22" spans="1:18" x14ac:dyDescent="0.35">
      <c r="A22">
        <v>13</v>
      </c>
      <c r="B22">
        <v>62</v>
      </c>
      <c r="C22" s="45">
        <f t="shared" si="2"/>
        <v>-5.6311297531911961</v>
      </c>
      <c r="D22" s="45">
        <f t="shared" si="3"/>
        <v>62</v>
      </c>
      <c r="E22" s="45">
        <f t="shared" si="0"/>
        <v>-11.77903881122052</v>
      </c>
      <c r="F22" s="45">
        <f t="shared" si="3"/>
        <v>62</v>
      </c>
      <c r="G22" s="45">
        <f t="shared" si="4"/>
        <v>49.013932572892621</v>
      </c>
      <c r="H22" s="45">
        <f t="shared" si="3"/>
        <v>12.986067427107379</v>
      </c>
      <c r="K22">
        <v>13</v>
      </c>
      <c r="L22">
        <v>62</v>
      </c>
      <c r="M22" s="45">
        <f>MAX(alpha*M21+(1+alpha)/2*(L22-L21),0)</f>
        <v>26.375579999999999</v>
      </c>
      <c r="N22" s="45">
        <f t="shared" si="5"/>
        <v>35.624420000000001</v>
      </c>
      <c r="O22" s="45">
        <f>MAX(alpha*O23+(1+alpha)/2*(N22-N23),0)</f>
        <v>24.340185392923043</v>
      </c>
      <c r="P22" s="45">
        <f t="shared" si="1"/>
        <v>11.284234607076957</v>
      </c>
      <c r="Q22" s="45">
        <f>MAX(alpha*Q21+(1+alpha)/2*(P22-P21),0)</f>
        <v>6.7702064517555147</v>
      </c>
      <c r="R22" s="45">
        <f t="shared" si="1"/>
        <v>4.5140281553214425</v>
      </c>
    </row>
    <row r="23" spans="1:18" x14ac:dyDescent="0.35">
      <c r="A23">
        <v>12</v>
      </c>
      <c r="B23">
        <v>89</v>
      </c>
      <c r="C23" s="45">
        <f t="shared" si="2"/>
        <v>21.211492841872627</v>
      </c>
      <c r="D23" s="45">
        <f t="shared" si="3"/>
        <v>67.788507158127373</v>
      </c>
      <c r="E23" s="45">
        <f t="shared" si="0"/>
        <v>-6.1718538006881847</v>
      </c>
      <c r="F23" s="45">
        <f t="shared" si="3"/>
        <v>67.788507158127373</v>
      </c>
      <c r="G23" s="45">
        <f t="shared" si="4"/>
        <v>53.764276007980868</v>
      </c>
      <c r="H23" s="45">
        <f t="shared" si="3"/>
        <v>14.024231150146505</v>
      </c>
      <c r="K23">
        <v>12</v>
      </c>
      <c r="L23">
        <v>89</v>
      </c>
      <c r="M23" s="45">
        <f>MAX(alpha*M22+(1+alpha)/2*(L23-L22),0)</f>
        <v>52.578068399999999</v>
      </c>
      <c r="N23" s="45">
        <f t="shared" si="5"/>
        <v>36.421931600000001</v>
      </c>
      <c r="O23" s="45">
        <f>MAX(alpha*O24+(1+alpha)/2*(N23-N24),0)</f>
        <v>25.642573343799025</v>
      </c>
      <c r="P23" s="45">
        <f t="shared" si="1"/>
        <v>10.779358256200975</v>
      </c>
      <c r="Q23" s="45">
        <f>MAX(alpha*Q22+(1+alpha)/2*(P23-P22),0)</f>
        <v>6.1349747353531825</v>
      </c>
      <c r="R23" s="45">
        <f t="shared" si="1"/>
        <v>4.6443835208477928</v>
      </c>
    </row>
    <row r="24" spans="1:18" x14ac:dyDescent="0.35">
      <c r="A24">
        <v>11</v>
      </c>
      <c r="B24">
        <v>144</v>
      </c>
      <c r="C24" s="45">
        <f t="shared" si="2"/>
        <v>75.237262985035173</v>
      </c>
      <c r="D24" s="45">
        <f t="shared" si="3"/>
        <v>68.762737014964827</v>
      </c>
      <c r="E24" s="45">
        <f t="shared" si="0"/>
        <v>-5.3136390228766386</v>
      </c>
      <c r="F24" s="45">
        <f t="shared" si="3"/>
        <v>68.762737014964827</v>
      </c>
      <c r="G24" s="45">
        <f t="shared" si="4"/>
        <v>53.653478046090328</v>
      </c>
      <c r="H24" s="45">
        <f t="shared" si="3"/>
        <v>15.109258968874499</v>
      </c>
      <c r="K24">
        <v>11</v>
      </c>
      <c r="L24">
        <v>144</v>
      </c>
      <c r="M24" s="45">
        <f>MAX(alpha*M23+(1+alpha)/2*(L24-L23),0)</f>
        <v>105.976507032</v>
      </c>
      <c r="N24" s="45">
        <f t="shared" si="5"/>
        <v>38.023492967999999</v>
      </c>
      <c r="O24" s="45">
        <f>MAX(alpha*O25+(1+alpha)/2*(N24-N25),0)</f>
        <v>27.783794998080637</v>
      </c>
      <c r="P24" s="45">
        <f t="shared" si="1"/>
        <v>10.239697969919362</v>
      </c>
      <c r="Q24" s="45">
        <f>MAX(alpha*Q23+(1+alpha)/2*(P24-P23),0)</f>
        <v>5.4780115572273216</v>
      </c>
      <c r="R24" s="45">
        <f t="shared" si="1"/>
        <v>4.7616864126920406</v>
      </c>
    </row>
    <row r="25" spans="1:18" x14ac:dyDescent="0.35">
      <c r="A25">
        <v>10</v>
      </c>
      <c r="B25">
        <v>308</v>
      </c>
      <c r="C25" s="45">
        <f t="shared" si="2"/>
        <v>236.09251772533446</v>
      </c>
      <c r="D25" s="45">
        <f t="shared" si="3"/>
        <v>71.90748227466554</v>
      </c>
      <c r="E25" s="45">
        <f t="shared" si="0"/>
        <v>-2.2452461385438092</v>
      </c>
      <c r="F25" s="45">
        <f t="shared" si="3"/>
        <v>71.90748227466554</v>
      </c>
      <c r="G25" s="45">
        <f t="shared" si="4"/>
        <v>55.693706292272225</v>
      </c>
      <c r="H25" s="45">
        <f t="shared" si="3"/>
        <v>16.213775982393315</v>
      </c>
      <c r="K25">
        <v>10</v>
      </c>
      <c r="L25">
        <v>308</v>
      </c>
      <c r="M25" s="45">
        <f>MAX(alpha*M24+(1+alpha)/2*(L25-L24),0)</f>
        <v>266.21697689135999</v>
      </c>
      <c r="N25" s="45">
        <f t="shared" si="5"/>
        <v>41.783023108640009</v>
      </c>
      <c r="O25" s="45">
        <f>MAX(alpha*O26+(1+alpha)/2*(N25-N26),0)</f>
        <v>32.148703915626783</v>
      </c>
      <c r="P25" s="45">
        <f t="shared" si="1"/>
        <v>9.6343191930132264</v>
      </c>
      <c r="Q25" s="45">
        <f>MAX(alpha*Q24+(1+alpha)/2*(P25-P24),0)</f>
        <v>4.7691263369457007</v>
      </c>
      <c r="R25" s="45">
        <f t="shared" si="1"/>
        <v>4.8651928560675257</v>
      </c>
    </row>
    <row r="26" spans="1:18" x14ac:dyDescent="0.35">
      <c r="A26">
        <v>9</v>
      </c>
      <c r="B26">
        <v>1169</v>
      </c>
      <c r="C26" s="45">
        <f t="shared" si="2"/>
        <v>1083.7606673708278</v>
      </c>
      <c r="D26" s="45">
        <f t="shared" si="3"/>
        <v>85.239332629172168</v>
      </c>
      <c r="E26" s="45">
        <f t="shared" si="0"/>
        <v>11.176822155528319</v>
      </c>
      <c r="F26" s="45">
        <f t="shared" si="3"/>
        <v>74.062510473643854</v>
      </c>
      <c r="G26" s="45">
        <f t="shared" si="4"/>
        <v>56.713310083415308</v>
      </c>
      <c r="H26" s="45">
        <f t="shared" si="3"/>
        <v>17.349200390228546</v>
      </c>
      <c r="K26">
        <v>9</v>
      </c>
      <c r="L26">
        <v>1169</v>
      </c>
      <c r="M26" s="45">
        <f>MAX(alpha*M25+(1+alpha)/2*(L26-L25),0)</f>
        <v>1113.2826373535327</v>
      </c>
      <c r="N26" s="45">
        <f t="shared" si="5"/>
        <v>55.717362646467336</v>
      </c>
      <c r="O26" s="45">
        <f>MAX(alpha*O27+(1+alpha)/2*(N26-N27),0)</f>
        <v>46.881326589873311</v>
      </c>
      <c r="P26" s="45">
        <f t="shared" si="1"/>
        <v>8.8360360565940255</v>
      </c>
      <c r="Q26" s="45">
        <f>MAX(alpha*Q25+(1+alpha)/2*(P26-P25),0)</f>
        <v>3.8834435051517779</v>
      </c>
      <c r="R26" s="45">
        <f t="shared" si="1"/>
        <v>4.9525925514422475</v>
      </c>
    </row>
    <row r="27" spans="1:18" x14ac:dyDescent="0.35">
      <c r="A27">
        <v>8</v>
      </c>
      <c r="B27">
        <v>95</v>
      </c>
      <c r="C27" s="45">
        <f t="shared" si="2"/>
        <v>-1.1745459765886608</v>
      </c>
      <c r="D27" s="45">
        <f t="shared" si="3"/>
        <v>95</v>
      </c>
      <c r="E27" s="45">
        <f t="shared" si="0"/>
        <v>21.265186584334565</v>
      </c>
      <c r="F27" s="45">
        <f t="shared" si="3"/>
        <v>73.734813415665428</v>
      </c>
      <c r="G27" s="45">
        <f t="shared" si="4"/>
        <v>55.254623794348355</v>
      </c>
      <c r="H27" s="45">
        <f t="shared" si="3"/>
        <v>18.480189621317074</v>
      </c>
      <c r="K27">
        <v>8</v>
      </c>
      <c r="L27">
        <v>95</v>
      </c>
      <c r="M27" s="45">
        <f>MAX(alpha*M26+(1+alpha)/2*(L27-L26),0)</f>
        <v>27.756984606462083</v>
      </c>
      <c r="N27" s="45">
        <f t="shared" si="5"/>
        <v>67.243015393537917</v>
      </c>
      <c r="O27" s="45">
        <f>MAX(alpha*O28+(1+alpha)/2*(N27-N28),0)</f>
        <v>59.481349805584884</v>
      </c>
      <c r="P27" s="45">
        <f t="shared" si="1"/>
        <v>7.7616655879530327</v>
      </c>
      <c r="Q27" s="45">
        <f>MAX(alpha*Q26+(1+alpha)/2*(P27-P26),0)</f>
        <v>2.7421478710941596</v>
      </c>
      <c r="R27" s="45">
        <f t="shared" si="1"/>
        <v>5.0195177168588732</v>
      </c>
    </row>
    <row r="28" spans="1:18" x14ac:dyDescent="0.35">
      <c r="A28">
        <v>7</v>
      </c>
      <c r="B28">
        <v>26</v>
      </c>
      <c r="C28" s="45">
        <f t="shared" si="2"/>
        <v>-69.461055057056896</v>
      </c>
      <c r="D28" s="45">
        <f t="shared" si="3"/>
        <v>26</v>
      </c>
      <c r="E28" s="45">
        <f t="shared" si="0"/>
        <v>-48.004911648638199</v>
      </c>
      <c r="F28" s="45">
        <f t="shared" si="3"/>
        <v>26</v>
      </c>
      <c r="G28" s="45">
        <f t="shared" si="4"/>
        <v>6.8920660369526132</v>
      </c>
      <c r="H28" s="45">
        <f t="shared" si="3"/>
        <v>19.107933963047387</v>
      </c>
      <c r="K28">
        <v>7</v>
      </c>
      <c r="L28">
        <v>26</v>
      </c>
      <c r="M28" s="45">
        <f>MAX(alpha*M27+(1+alpha)/2*(L28-L27),0)</f>
        <v>0</v>
      </c>
      <c r="N28" s="45">
        <f t="shared" si="5"/>
        <v>26</v>
      </c>
      <c r="O28" s="45">
        <f>MAX(alpha*O29+(1+alpha)/2*(N28-N29),0)</f>
        <v>19.031392414267703</v>
      </c>
      <c r="P28" s="45">
        <f t="shared" si="1"/>
        <v>6.9686075857322969</v>
      </c>
      <c r="Q28" s="45">
        <f>MAX(alpha*Q27+(1+alpha)/2*(P28-P27),0)</f>
        <v>1.9021774914737477</v>
      </c>
      <c r="R28" s="45">
        <f t="shared" si="1"/>
        <v>5.066430094258549</v>
      </c>
    </row>
    <row r="29" spans="1:18" x14ac:dyDescent="0.35">
      <c r="A29">
        <v>6</v>
      </c>
      <c r="B29">
        <v>36</v>
      </c>
      <c r="C29" s="45">
        <f t="shared" si="2"/>
        <v>-58.171833955915751</v>
      </c>
      <c r="D29" s="45">
        <f t="shared" si="3"/>
        <v>36</v>
      </c>
      <c r="E29" s="45">
        <f t="shared" si="0"/>
        <v>-38.882562906773671</v>
      </c>
      <c r="F29" s="45">
        <f t="shared" si="3"/>
        <v>36</v>
      </c>
      <c r="G29" s="45">
        <f t="shared" si="4"/>
        <v>16.654224716213562</v>
      </c>
      <c r="H29" s="45">
        <f t="shared" si="3"/>
        <v>19.345775283786438</v>
      </c>
      <c r="K29">
        <v>6</v>
      </c>
      <c r="L29">
        <v>36</v>
      </c>
      <c r="M29" s="45">
        <f>MAX(alpha*M28+(1+alpha)/2*(L29-L28),0)</f>
        <v>9.9</v>
      </c>
      <c r="N29" s="45">
        <f t="shared" si="5"/>
        <v>26.1</v>
      </c>
      <c r="O29" s="45">
        <f>MAX(alpha*O30+(1+alpha)/2*(N29-N30),0)</f>
        <v>19.520808585987453</v>
      </c>
      <c r="P29" s="45">
        <f t="shared" si="1"/>
        <v>6.5791914140125485</v>
      </c>
      <c r="Q29" s="45">
        <f>MAX(alpha*Q28+(1+alpha)/2*(P29-P28),0)</f>
        <v>1.4786119316417219</v>
      </c>
      <c r="R29" s="45">
        <f t="shared" si="1"/>
        <v>5.1005794823708266</v>
      </c>
    </row>
    <row r="30" spans="1:18" x14ac:dyDescent="0.35">
      <c r="A30">
        <v>5</v>
      </c>
      <c r="B30">
        <v>57</v>
      </c>
      <c r="C30" s="45">
        <f t="shared" si="2"/>
        <v>-36.21839727679744</v>
      </c>
      <c r="D30" s="45">
        <f t="shared" si="3"/>
        <v>57</v>
      </c>
      <c r="E30" s="45">
        <f t="shared" si="0"/>
        <v>-18.461798884462933</v>
      </c>
      <c r="F30" s="45">
        <f t="shared" si="3"/>
        <v>57</v>
      </c>
      <c r="G30" s="45">
        <f t="shared" si="4"/>
        <v>37.111140221889286</v>
      </c>
      <c r="H30" s="45">
        <f t="shared" si="3"/>
        <v>19.888859778110714</v>
      </c>
      <c r="K30">
        <v>5</v>
      </c>
      <c r="L30">
        <v>57</v>
      </c>
      <c r="M30" s="45">
        <f>MAX(alpha*M29+(1+alpha)/2*(L30-L29),0)</f>
        <v>30.491999999999997</v>
      </c>
      <c r="N30" s="45">
        <f t="shared" si="5"/>
        <v>26.508000000000003</v>
      </c>
      <c r="O30" s="45">
        <f>MAX(alpha*O31+(1+alpha)/2*(N30-N31),0)</f>
        <v>20.331355699987199</v>
      </c>
      <c r="P30" s="45">
        <f t="shared" si="1"/>
        <v>6.1766443000128035</v>
      </c>
      <c r="Q30" s="45">
        <f>MAX(alpha*Q29+(1+alpha)/2*(P30-P29),0)</f>
        <v>1.0505180501491398</v>
      </c>
      <c r="R30" s="45">
        <f t="shared" si="1"/>
        <v>5.1261262498636633</v>
      </c>
    </row>
    <row r="31" spans="1:18" x14ac:dyDescent="0.35">
      <c r="A31">
        <v>4</v>
      </c>
      <c r="B31">
        <v>117</v>
      </c>
      <c r="C31" s="45">
        <f t="shared" si="2"/>
        <v>23.905970668738512</v>
      </c>
      <c r="D31" s="45">
        <f t="shared" si="3"/>
        <v>93.094029331261481</v>
      </c>
      <c r="E31" s="45">
        <f t="shared" si="0"/>
        <v>17.623765462740746</v>
      </c>
      <c r="F31" s="45">
        <f t="shared" si="3"/>
        <v>75.470263868520732</v>
      </c>
      <c r="G31" s="45">
        <f t="shared" si="4"/>
        <v>54.654478647287021</v>
      </c>
      <c r="H31" s="45">
        <f t="shared" si="3"/>
        <v>20.81578522123371</v>
      </c>
      <c r="K31">
        <v>4</v>
      </c>
      <c r="L31">
        <v>117</v>
      </c>
      <c r="M31" s="45">
        <f>MAX(alpha*M30+(1+alpha)/2*(L31-L30),0)</f>
        <v>89.28215999999999</v>
      </c>
      <c r="N31" s="45">
        <f t="shared" si="5"/>
        <v>27.71784000000001</v>
      </c>
      <c r="O31" s="45">
        <f>MAX(alpha*O32+(1+alpha)/2*(N31-N32),0)</f>
        <v>21.968466632640009</v>
      </c>
      <c r="P31" s="45">
        <f t="shared" si="1"/>
        <v>5.7493733673600005</v>
      </c>
      <c r="Q31" s="45">
        <f>MAX(alpha*Q30+(1+alpha)/2*(P31-P30),0)</f>
        <v>0.60650946581988197</v>
      </c>
      <c r="R31" s="45">
        <f t="shared" si="1"/>
        <v>5.1428639015401183</v>
      </c>
    </row>
    <row r="32" spans="1:18" x14ac:dyDescent="0.35">
      <c r="A32">
        <v>3</v>
      </c>
      <c r="B32">
        <v>108</v>
      </c>
      <c r="C32" s="45">
        <f t="shared" si="2"/>
        <v>14.517851255363741</v>
      </c>
      <c r="D32" s="45">
        <f t="shared" si="3"/>
        <v>93.482148744636262</v>
      </c>
      <c r="E32" s="45">
        <f t="shared" si="0"/>
        <v>18.375513961205897</v>
      </c>
      <c r="F32" s="45">
        <f t="shared" si="3"/>
        <v>75.106634783430366</v>
      </c>
      <c r="G32" s="45">
        <f t="shared" si="4"/>
        <v>53.201396280101818</v>
      </c>
      <c r="H32" s="45">
        <f t="shared" si="3"/>
        <v>21.905238503328547</v>
      </c>
      <c r="K32">
        <v>3</v>
      </c>
      <c r="L32">
        <v>108</v>
      </c>
      <c r="M32" s="45">
        <f>MAX(alpha*M31+(1+alpha)/2*(L32-L31),0)</f>
        <v>78.586516799999998</v>
      </c>
      <c r="N32" s="45">
        <f t="shared" si="5"/>
        <v>29.413483200000002</v>
      </c>
      <c r="O32" s="45">
        <f>MAX(alpha*O33+(1+alpha)/2*(N32-N33),0)</f>
        <v>24.129748368000001</v>
      </c>
      <c r="P32" s="45">
        <f t="shared" si="1"/>
        <v>5.2837348320000004</v>
      </c>
      <c r="Q32" s="45">
        <f>MAX(alpha*Q31+(1+alpha)/2*(P32-P31),0)</f>
        <v>0.13339712649708424</v>
      </c>
      <c r="R32" s="45">
        <f t="shared" si="1"/>
        <v>5.150337705502916</v>
      </c>
    </row>
    <row r="33" spans="1:18" x14ac:dyDescent="0.35">
      <c r="A33">
        <v>2</v>
      </c>
      <c r="B33">
        <v>7</v>
      </c>
      <c r="C33" s="45">
        <f t="shared" si="2"/>
        <v>-85.762505769743527</v>
      </c>
      <c r="D33" s="45">
        <f t="shared" si="3"/>
        <v>7</v>
      </c>
      <c r="E33" s="45">
        <f t="shared" si="0"/>
        <v>-68.61409519998368</v>
      </c>
      <c r="F33" s="45">
        <f t="shared" si="3"/>
        <v>7</v>
      </c>
      <c r="G33" s="45">
        <f t="shared" si="4"/>
        <v>-15.288200081096285</v>
      </c>
      <c r="H33" s="45">
        <f t="shared" si="3"/>
        <v>7</v>
      </c>
      <c r="K33">
        <v>2</v>
      </c>
      <c r="L33">
        <v>7</v>
      </c>
      <c r="M33" s="45">
        <f>MAX(alpha*M32+(1+alpha)/2*(L33-L32),0)</f>
        <v>0</v>
      </c>
      <c r="N33" s="45">
        <f t="shared" si="5"/>
        <v>7</v>
      </c>
      <c r="O33" s="45">
        <f>MAX(alpha*O34+(1+alpha)/2*(N33-N34),0)</f>
        <v>1.98</v>
      </c>
      <c r="P33" s="45">
        <f t="shared" si="1"/>
        <v>5.0199999999999996</v>
      </c>
      <c r="Q33" s="45">
        <f>MAX(alpha*Q32+(1+alpha)/2*(P33-P32),0)</f>
        <v>0</v>
      </c>
      <c r="R33" s="45">
        <f t="shared" si="1"/>
        <v>5.0199999999999996</v>
      </c>
    </row>
    <row r="34" spans="1:18" x14ac:dyDescent="0.35">
      <c r="A34">
        <v>1</v>
      </c>
      <c r="B34">
        <v>5</v>
      </c>
      <c r="C34" s="45">
        <f t="shared" si="2"/>
        <v>-86.027255654348664</v>
      </c>
      <c r="D34" s="45">
        <f t="shared" si="3"/>
        <v>5</v>
      </c>
      <c r="E34" s="45">
        <f t="shared" si="0"/>
        <v>-72.034791020391509</v>
      </c>
      <c r="F34" s="45">
        <f t="shared" si="3"/>
        <v>5</v>
      </c>
      <c r="G34" s="45">
        <f t="shared" si="4"/>
        <v>-16.962436079474358</v>
      </c>
      <c r="H34" s="45">
        <f t="shared" si="3"/>
        <v>5</v>
      </c>
      <c r="K34">
        <v>1</v>
      </c>
      <c r="L34">
        <v>5</v>
      </c>
      <c r="M34" s="45">
        <f>MAX(alpha*M33+(1+alpha)/2*(L34-L33),0)</f>
        <v>0</v>
      </c>
      <c r="N34" s="45">
        <f t="shared" si="5"/>
        <v>5</v>
      </c>
      <c r="O34" s="45">
        <f>MAX(alpha*O35+(1+alpha)/2*(N34-N35),0)</f>
        <v>0</v>
      </c>
      <c r="P34" s="45">
        <f t="shared" si="1"/>
        <v>5</v>
      </c>
      <c r="Q34" s="45">
        <f>MAX(alpha*Q33+(1+alpha)/2*(P34-P33),0)</f>
        <v>0</v>
      </c>
      <c r="R34" s="45">
        <f t="shared" si="1"/>
        <v>5</v>
      </c>
    </row>
    <row r="35" spans="1:18" x14ac:dyDescent="0.35">
      <c r="A35">
        <v>2</v>
      </c>
      <c r="B35">
        <v>7</v>
      </c>
      <c r="C35" s="45">
        <f t="shared" si="2"/>
        <v>-82.32671054126169</v>
      </c>
      <c r="D35" s="45">
        <f t="shared" si="3"/>
        <v>7</v>
      </c>
      <c r="E35" s="45">
        <f t="shared" si="0"/>
        <v>-71.484480633052556</v>
      </c>
      <c r="F35" s="45">
        <f t="shared" si="3"/>
        <v>7</v>
      </c>
      <c r="G35" s="45">
        <f t="shared" si="4"/>
        <v>-14.643187357884869</v>
      </c>
      <c r="H35" s="45">
        <f t="shared" si="3"/>
        <v>7</v>
      </c>
      <c r="K35">
        <v>2</v>
      </c>
      <c r="L35">
        <v>7</v>
      </c>
      <c r="M35" s="45">
        <f>MAX(alpha*M34+(1+alpha)/2*(L35-L34),0)</f>
        <v>1.98</v>
      </c>
      <c r="N35" s="45">
        <f t="shared" si="5"/>
        <v>5.0199999999999996</v>
      </c>
      <c r="O35" s="45">
        <f>MAX(alpha*O36+(1+alpha)/2*(N35-N36),0)</f>
        <v>0</v>
      </c>
      <c r="P35" s="45">
        <f t="shared" si="1"/>
        <v>5.0199999999999996</v>
      </c>
      <c r="Q35" s="45">
        <f>MAX(alpha*Q34+(1+alpha)/2*(P35-P34),0)</f>
        <v>1.9799999999999578E-2</v>
      </c>
      <c r="R35" s="45">
        <f t="shared" si="1"/>
        <v>5.0002000000000004</v>
      </c>
    </row>
    <row r="36" spans="1:18" x14ac:dyDescent="0.35">
      <c r="A36">
        <v>3</v>
      </c>
      <c r="B36">
        <v>108</v>
      </c>
      <c r="C36" s="45">
        <f t="shared" si="2"/>
        <v>19.309823669563542</v>
      </c>
      <c r="D36" s="45">
        <f t="shared" si="3"/>
        <v>88.690176330436458</v>
      </c>
      <c r="E36" s="45">
        <f t="shared" ref="E36:E67" si="6">alpha*E37+(1+alpha)/2*(D36-D37)</f>
        <v>9.5804019735505488</v>
      </c>
      <c r="F36" s="45">
        <f t="shared" si="3"/>
        <v>79.109774356885907</v>
      </c>
      <c r="G36" s="45">
        <f t="shared" si="4"/>
        <v>57.038353002589872</v>
      </c>
      <c r="H36" s="45">
        <f t="shared" si="3"/>
        <v>22.071421354296035</v>
      </c>
      <c r="K36">
        <v>3</v>
      </c>
      <c r="L36">
        <v>108</v>
      </c>
      <c r="M36" s="45">
        <f>MAX(alpha*M35+(1+alpha)/2*(L36-L35),0)</f>
        <v>101.93039999999999</v>
      </c>
      <c r="N36" s="45">
        <f t="shared" si="5"/>
        <v>6.0696000000000083</v>
      </c>
      <c r="O36" s="45">
        <f>MAX(alpha*O37+(1+alpha)/2*(N36-N37),0)</f>
        <v>0</v>
      </c>
      <c r="P36" s="45">
        <f t="shared" si="1"/>
        <v>6.0696000000000083</v>
      </c>
      <c r="Q36" s="45">
        <f>MAX(alpha*Q35+(1+alpha)/2*(P36-P35),0)</f>
        <v>1.0585080000000082</v>
      </c>
      <c r="R36" s="45">
        <f t="shared" si="1"/>
        <v>5.0110919999999997</v>
      </c>
    </row>
    <row r="37" spans="1:18" x14ac:dyDescent="0.35">
      <c r="A37">
        <v>4</v>
      </c>
      <c r="B37">
        <v>117</v>
      </c>
      <c r="C37" s="45">
        <f t="shared" ref="C37:C68" si="7">alpha*C36+(1+alpha)/2*(B37-B36)</f>
        <v>27.833627196172269</v>
      </c>
      <c r="D37" s="45">
        <f t="shared" si="3"/>
        <v>89.166372803827727</v>
      </c>
      <c r="E37" s="45">
        <f t="shared" si="6"/>
        <v>10.256976002252966</v>
      </c>
      <c r="F37" s="45">
        <f t="shared" si="3"/>
        <v>78.909396801574758</v>
      </c>
      <c r="G37" s="45">
        <f t="shared" ref="G37:G68" si="8">alpha*G36+(1+alpha)/2*(F37-F36)</f>
        <v>55.699212162780036</v>
      </c>
      <c r="H37" s="45">
        <f t="shared" si="3"/>
        <v>23.210184638794722</v>
      </c>
      <c r="K37">
        <v>4</v>
      </c>
      <c r="L37">
        <v>117</v>
      </c>
      <c r="M37" s="45">
        <f>MAX(alpha*M36+(1+alpha)/2*(L37-L36),0)</f>
        <v>108.80179199999999</v>
      </c>
      <c r="N37" s="45">
        <f t="shared" si="5"/>
        <v>8.1982080000000082</v>
      </c>
      <c r="O37" s="45">
        <f>MAX(alpha*O38+(1+alpha)/2*(N37-N38),0)</f>
        <v>0</v>
      </c>
      <c r="P37" s="45">
        <f t="shared" si="1"/>
        <v>8.1982080000000082</v>
      </c>
      <c r="Q37" s="45">
        <f>MAX(alpha*Q36+(1+alpha)/2*(P37-P36),0)</f>
        <v>3.1446597600000077</v>
      </c>
      <c r="R37" s="45">
        <f t="shared" si="1"/>
        <v>5.0535482400000005</v>
      </c>
    </row>
    <row r="38" spans="1:18" x14ac:dyDescent="0.35">
      <c r="A38">
        <v>5</v>
      </c>
      <c r="B38">
        <v>57</v>
      </c>
      <c r="C38" s="45">
        <f t="shared" si="7"/>
        <v>-32.123045347751173</v>
      </c>
      <c r="D38" s="45">
        <f t="shared" si="3"/>
        <v>57</v>
      </c>
      <c r="E38" s="45">
        <f t="shared" si="6"/>
        <v>-22.028299054629066</v>
      </c>
      <c r="F38" s="45">
        <f t="shared" si="3"/>
        <v>57</v>
      </c>
      <c r="G38" s="45">
        <f t="shared" si="8"/>
        <v>32.894925085965426</v>
      </c>
      <c r="H38" s="45">
        <f t="shared" si="3"/>
        <v>24.105074914034574</v>
      </c>
      <c r="K38">
        <v>5</v>
      </c>
      <c r="L38">
        <v>57</v>
      </c>
      <c r="M38" s="45">
        <f>MAX(alpha*M37+(1+alpha)/2*(L38-L37),0)</f>
        <v>47.225756159999996</v>
      </c>
      <c r="N38" s="45">
        <f t="shared" si="5"/>
        <v>9.774243840000004</v>
      </c>
      <c r="O38" s="45">
        <f>MAX(alpha*O39+(1+alpha)/2*(N38-N39),0)</f>
        <v>0</v>
      </c>
      <c r="P38" s="45">
        <f t="shared" si="1"/>
        <v>9.774243840000004</v>
      </c>
      <c r="Q38" s="45">
        <f>MAX(alpha*Q37+(1+alpha)/2*(P38-P37),0)</f>
        <v>4.6420420464000038</v>
      </c>
      <c r="R38" s="45">
        <f t="shared" si="1"/>
        <v>5.1322017936000002</v>
      </c>
    </row>
    <row r="39" spans="1:18" x14ac:dyDescent="0.35">
      <c r="A39">
        <v>6</v>
      </c>
      <c r="B39">
        <v>36</v>
      </c>
      <c r="C39" s="45">
        <f t="shared" si="7"/>
        <v>-52.270584440796149</v>
      </c>
      <c r="D39" s="45">
        <f t="shared" si="3"/>
        <v>36</v>
      </c>
      <c r="E39" s="45">
        <f t="shared" si="6"/>
        <v>-43.692141892478638</v>
      </c>
      <c r="F39" s="45">
        <f t="shared" si="3"/>
        <v>36</v>
      </c>
      <c r="G39" s="45">
        <f t="shared" si="8"/>
        <v>11.447026584246117</v>
      </c>
      <c r="H39" s="45">
        <f t="shared" si="3"/>
        <v>24.552973415753883</v>
      </c>
      <c r="K39">
        <v>6</v>
      </c>
      <c r="L39">
        <v>36</v>
      </c>
      <c r="M39" s="45">
        <f>MAX(alpha*M38+(1+alpha)/2*(L39-L38),0)</f>
        <v>25.491241036799998</v>
      </c>
      <c r="N39" s="45">
        <f t="shared" si="5"/>
        <v>10.508758963200002</v>
      </c>
      <c r="O39" s="45">
        <f>MAX(alpha*O40+(1+alpha)/2*(N39-N40),0)</f>
        <v>0</v>
      </c>
      <c r="P39" s="45">
        <f t="shared" si="1"/>
        <v>10.508758963200002</v>
      </c>
      <c r="Q39" s="45">
        <f>MAX(alpha*Q38+(1+alpha)/2*(P39-P38),0)</f>
        <v>5.2763711774400015</v>
      </c>
      <c r="R39" s="45">
        <f t="shared" si="1"/>
        <v>5.2323877857600003</v>
      </c>
    </row>
    <row r="40" spans="1:18" x14ac:dyDescent="0.35">
      <c r="A40">
        <v>7</v>
      </c>
      <c r="B40">
        <v>26</v>
      </c>
      <c r="C40" s="45">
        <f t="shared" si="7"/>
        <v>-61.125172751980223</v>
      </c>
      <c r="D40" s="45">
        <f t="shared" si="3"/>
        <v>26</v>
      </c>
      <c r="E40" s="45">
        <f t="shared" si="6"/>
        <v>-54.685859073957793</v>
      </c>
      <c r="F40" s="45">
        <f t="shared" si="3"/>
        <v>26</v>
      </c>
      <c r="G40" s="45">
        <f t="shared" si="8"/>
        <v>1.3180860525611937</v>
      </c>
      <c r="H40" s="45">
        <f t="shared" si="3"/>
        <v>24.681913947438808</v>
      </c>
      <c r="K40">
        <v>7</v>
      </c>
      <c r="L40">
        <v>26</v>
      </c>
      <c r="M40" s="45">
        <f>MAX(alpha*M39+(1+alpha)/2*(L40-L39),0)</f>
        <v>15.081416216063998</v>
      </c>
      <c r="N40" s="45">
        <f t="shared" si="5"/>
        <v>10.918583783936002</v>
      </c>
      <c r="O40" s="45">
        <f>MAX(alpha*O41+(1+alpha)/2*(N40-N41),0)</f>
        <v>0</v>
      </c>
      <c r="P40" s="45">
        <f t="shared" si="1"/>
        <v>10.918583783936002</v>
      </c>
      <c r="Q40" s="45">
        <f>MAX(alpha*Q39+(1+alpha)/2*(P40-P39),0)</f>
        <v>5.5765703264198416</v>
      </c>
      <c r="R40" s="45">
        <f t="shared" si="1"/>
        <v>5.3420134575161606</v>
      </c>
    </row>
    <row r="41" spans="1:18" x14ac:dyDescent="0.35">
      <c r="A41">
        <v>8</v>
      </c>
      <c r="B41">
        <v>95</v>
      </c>
      <c r="C41" s="45">
        <f t="shared" si="7"/>
        <v>8.4073307030593867</v>
      </c>
      <c r="D41" s="45">
        <f t="shared" si="3"/>
        <v>86.592669296940613</v>
      </c>
      <c r="E41" s="45">
        <f t="shared" si="6"/>
        <v>5.4090648265443022</v>
      </c>
      <c r="F41" s="45">
        <f t="shared" si="3"/>
        <v>81.183604470396318</v>
      </c>
      <c r="G41" s="45">
        <f t="shared" si="8"/>
        <v>55.923492757202325</v>
      </c>
      <c r="H41" s="45">
        <f t="shared" si="3"/>
        <v>25.260111713193993</v>
      </c>
      <c r="K41">
        <v>8</v>
      </c>
      <c r="L41">
        <v>95</v>
      </c>
      <c r="M41" s="45">
        <f>MAX(alpha*M40+(1+alpha)/2*(L41-L40),0)</f>
        <v>83.089787891742716</v>
      </c>
      <c r="N41" s="45">
        <f t="shared" si="5"/>
        <v>11.910212108257284</v>
      </c>
      <c r="O41" s="45">
        <f>MAX(alpha*O42+(1+alpha)/2*(N41-N42),0)</f>
        <v>0</v>
      </c>
      <c r="P41" s="45">
        <f t="shared" si="1"/>
        <v>11.910212108257284</v>
      </c>
      <c r="Q41" s="45">
        <f>MAX(alpha*Q40+(1+alpha)/2*(P41-P40),0)</f>
        <v>6.4467509609695135</v>
      </c>
      <c r="R41" s="45">
        <f t="shared" si="1"/>
        <v>5.4634611472877701</v>
      </c>
    </row>
    <row r="42" spans="1:18" x14ac:dyDescent="0.35">
      <c r="A42">
        <v>9</v>
      </c>
      <c r="B42">
        <v>1169</v>
      </c>
      <c r="C42" s="45">
        <f t="shared" si="7"/>
        <v>1071.4991840889982</v>
      </c>
      <c r="D42" s="45">
        <f t="shared" si="3"/>
        <v>97.500815911001837</v>
      </c>
      <c r="E42" s="45">
        <f t="shared" si="6"/>
        <v>16.538908137209095</v>
      </c>
      <c r="F42" s="45">
        <f t="shared" si="3"/>
        <v>80.961907773792746</v>
      </c>
      <c r="G42" s="45">
        <f t="shared" si="8"/>
        <v>54.585543172420742</v>
      </c>
      <c r="H42" s="45">
        <f t="shared" si="3"/>
        <v>26.376364601372003</v>
      </c>
      <c r="K42">
        <v>9</v>
      </c>
      <c r="L42">
        <v>1169</v>
      </c>
      <c r="M42" s="45">
        <f>MAX(alpha*M41+(1+alpha)/2*(L42-L41),0)</f>
        <v>1144.6879921339078</v>
      </c>
      <c r="N42" s="45">
        <f t="shared" si="5"/>
        <v>24.312007866092245</v>
      </c>
      <c r="O42" s="45">
        <f>MAX(alpha*O43+(1+alpha)/2*(N42-N43),0)</f>
        <v>0</v>
      </c>
      <c r="P42" s="45">
        <f t="shared" si="1"/>
        <v>24.312007866092245</v>
      </c>
      <c r="Q42" s="45">
        <f>MAX(alpha*Q41+(1+alpha)/2*(P42-P41),0)</f>
        <v>18.595593742006734</v>
      </c>
      <c r="R42" s="45">
        <f t="shared" si="1"/>
        <v>5.7164141240855102</v>
      </c>
    </row>
    <row r="43" spans="1:18" x14ac:dyDescent="0.35">
      <c r="A43">
        <v>10</v>
      </c>
      <c r="B43">
        <v>308</v>
      </c>
      <c r="C43" s="45">
        <f t="shared" si="7"/>
        <v>197.67920040721822</v>
      </c>
      <c r="D43" s="45">
        <f t="shared" si="3"/>
        <v>110.32079959278178</v>
      </c>
      <c r="E43" s="45">
        <f t="shared" si="6"/>
        <v>29.827236716501268</v>
      </c>
      <c r="F43" s="45">
        <f t="shared" si="3"/>
        <v>80.493562876280521</v>
      </c>
      <c r="G43" s="45">
        <f t="shared" si="8"/>
        <v>53.030170860435227</v>
      </c>
      <c r="H43" s="45">
        <f t="shared" si="3"/>
        <v>27.463392015845294</v>
      </c>
      <c r="K43">
        <v>10</v>
      </c>
      <c r="L43">
        <v>308</v>
      </c>
      <c r="M43" s="45">
        <f>MAX(alpha*M42+(1+alpha)/2*(L43-L42),0)</f>
        <v>269.4042322912295</v>
      </c>
      <c r="N43" s="45">
        <f t="shared" si="5"/>
        <v>38.595767708770495</v>
      </c>
      <c r="O43" s="45">
        <f>MAX(alpha*O44+(1+alpha)/2*(N43-N44),0)</f>
        <v>2.7916806530460816</v>
      </c>
      <c r="P43" s="45">
        <f t="shared" si="1"/>
        <v>35.804087055724416</v>
      </c>
      <c r="Q43" s="45">
        <f>MAX(alpha*Q42+(1+alpha)/2*(P43-P42),0)</f>
        <v>29.600840264902452</v>
      </c>
      <c r="R43" s="45">
        <f t="shared" si="1"/>
        <v>6.2032467908219644</v>
      </c>
    </row>
    <row r="44" spans="1:18" x14ac:dyDescent="0.35">
      <c r="A44">
        <v>11</v>
      </c>
      <c r="B44">
        <v>144</v>
      </c>
      <c r="C44" s="45">
        <f t="shared" si="7"/>
        <v>31.365616399073872</v>
      </c>
      <c r="D44" s="45">
        <f t="shared" si="3"/>
        <v>112.63438360092613</v>
      </c>
      <c r="E44" s="45">
        <f t="shared" si="6"/>
        <v>32.77314784139201</v>
      </c>
      <c r="F44" s="45">
        <f t="shared" si="3"/>
        <v>79.861235759534111</v>
      </c>
      <c r="G44" s="45">
        <f t="shared" si="8"/>
        <v>51.343563597647581</v>
      </c>
      <c r="H44" s="45">
        <f t="shared" si="3"/>
        <v>28.51767216188653</v>
      </c>
      <c r="K44">
        <v>11</v>
      </c>
      <c r="L44">
        <v>144</v>
      </c>
      <c r="M44" s="45">
        <f>MAX(alpha*M43+(1+alpha)/2*(L44-L43),0)</f>
        <v>101.6561476454049</v>
      </c>
      <c r="N44" s="45">
        <f t="shared" si="5"/>
        <v>42.3438523545951</v>
      </c>
      <c r="O44" s="45">
        <f>MAX(alpha*O45+(1+alpha)/2*(N44-N45),0)</f>
        <v>6.6349841351147347</v>
      </c>
      <c r="P44" s="45">
        <f t="shared" si="1"/>
        <v>35.708868219480365</v>
      </c>
      <c r="Q44" s="45">
        <f>MAX(alpha*Q43+(1+alpha)/2*(P44-P43),0)</f>
        <v>28.914556811722793</v>
      </c>
      <c r="R44" s="45">
        <f t="shared" si="1"/>
        <v>6.7943114077575721</v>
      </c>
    </row>
    <row r="45" spans="1:18" x14ac:dyDescent="0.35">
      <c r="A45">
        <v>12</v>
      </c>
      <c r="B45">
        <v>89</v>
      </c>
      <c r="C45" s="45">
        <f t="shared" si="7"/>
        <v>-23.711695928907609</v>
      </c>
      <c r="D45" s="45">
        <f t="shared" si="3"/>
        <v>89</v>
      </c>
      <c r="E45" s="45">
        <f t="shared" si="6"/>
        <v>9.5664368127297408</v>
      </c>
      <c r="F45" s="45">
        <f t="shared" si="3"/>
        <v>79.433563187270266</v>
      </c>
      <c r="G45" s="45">
        <f t="shared" si="8"/>
        <v>49.89329647915342</v>
      </c>
      <c r="H45" s="45">
        <f t="shared" si="3"/>
        <v>29.540266708116846</v>
      </c>
      <c r="K45">
        <v>12</v>
      </c>
      <c r="L45">
        <v>89</v>
      </c>
      <c r="M45" s="45">
        <f>MAX(alpha*M44+(1+alpha)/2*(L45-L44),0)</f>
        <v>45.173024692496796</v>
      </c>
      <c r="N45" s="45">
        <f t="shared" si="5"/>
        <v>43.826975307503204</v>
      </c>
      <c r="O45" s="45">
        <f>MAX(alpha*O46+(1+alpha)/2*(N45-N46),0)</f>
        <v>8.2686488351977125</v>
      </c>
      <c r="P45" s="45">
        <f t="shared" si="1"/>
        <v>35.558326472305495</v>
      </c>
      <c r="Q45" s="45">
        <f>MAX(alpha*Q44+(1+alpha)/2*(P45-P44),0)</f>
        <v>28.187229345785216</v>
      </c>
      <c r="R45" s="45">
        <f t="shared" si="1"/>
        <v>7.3710971265202794</v>
      </c>
    </row>
    <row r="46" spans="1:18" x14ac:dyDescent="0.35">
      <c r="A46">
        <v>13</v>
      </c>
      <c r="B46">
        <v>62</v>
      </c>
      <c r="C46" s="45">
        <f t="shared" si="7"/>
        <v>-49.967462010329456</v>
      </c>
      <c r="D46" s="45">
        <f t="shared" si="3"/>
        <v>62</v>
      </c>
      <c r="E46" s="45">
        <f t="shared" si="6"/>
        <v>-17.513839987010471</v>
      </c>
      <c r="F46" s="45">
        <f t="shared" si="3"/>
        <v>62</v>
      </c>
      <c r="G46" s="45">
        <f t="shared" si="8"/>
        <v>31.636202994172788</v>
      </c>
      <c r="H46" s="45">
        <f t="shared" si="3"/>
        <v>30.363797005827212</v>
      </c>
      <c r="K46">
        <v>13</v>
      </c>
      <c r="L46">
        <v>62</v>
      </c>
      <c r="M46" s="45">
        <f>MAX(alpha*M45+(1+alpha)/2*(L46-L45),0)</f>
        <v>17.539564198646861</v>
      </c>
      <c r="N46" s="45">
        <f t="shared" si="5"/>
        <v>44.460435801353142</v>
      </c>
      <c r="O46" s="45">
        <f>MAX(alpha*O47+(1+alpha)/2*(N46-N47),0)</f>
        <v>9.0773211470501547</v>
      </c>
      <c r="P46" s="45">
        <f t="shared" si="1"/>
        <v>35.383114654302986</v>
      </c>
      <c r="Q46" s="45">
        <f>MAX(alpha*Q45+(1+alpha)/2*(P46-P45),0)</f>
        <v>27.450025059047029</v>
      </c>
      <c r="R46" s="45">
        <f t="shared" si="1"/>
        <v>7.9330895952559572</v>
      </c>
    </row>
    <row r="47" spans="1:18" x14ac:dyDescent="0.35">
      <c r="A47">
        <v>14</v>
      </c>
      <c r="B47">
        <v>48</v>
      </c>
      <c r="C47" s="45">
        <f t="shared" si="7"/>
        <v>-62.828112770122864</v>
      </c>
      <c r="D47" s="45">
        <f t="shared" si="3"/>
        <v>48</v>
      </c>
      <c r="E47" s="45">
        <f t="shared" si="6"/>
        <v>-32.014122435724971</v>
      </c>
      <c r="F47" s="45">
        <f t="shared" si="3"/>
        <v>48</v>
      </c>
      <c r="G47" s="45">
        <f t="shared" si="8"/>
        <v>17.14347893428933</v>
      </c>
      <c r="H47" s="45">
        <f t="shared" si="3"/>
        <v>30.85652106571067</v>
      </c>
      <c r="K47">
        <v>14</v>
      </c>
      <c r="L47">
        <v>48</v>
      </c>
      <c r="M47" s="45">
        <f>MAX(alpha*M46+(1+alpha)/2*(L47-L46),0)</f>
        <v>3.3287729146739231</v>
      </c>
      <c r="N47" s="45">
        <f t="shared" si="5"/>
        <v>44.67122708532608</v>
      </c>
      <c r="O47" s="45">
        <f>MAX(alpha*O48+(1+alpha)/2*(N47-N48),0)</f>
        <v>9.4755148144728203</v>
      </c>
      <c r="P47" s="45">
        <f t="shared" si="1"/>
        <v>35.195712270853264</v>
      </c>
      <c r="Q47" s="45">
        <f>MAX(alpha*Q46+(1+alpha)/2*(P47-P46),0)</f>
        <v>26.715496198250861</v>
      </c>
      <c r="R47" s="45">
        <f t="shared" si="1"/>
        <v>8.4802160726024027</v>
      </c>
    </row>
    <row r="48" spans="1:18" x14ac:dyDescent="0.35">
      <c r="A48">
        <v>15</v>
      </c>
      <c r="B48">
        <v>40</v>
      </c>
      <c r="C48" s="45">
        <f t="shared" si="7"/>
        <v>-69.491550514720402</v>
      </c>
      <c r="D48" s="45">
        <f t="shared" si="3"/>
        <v>40</v>
      </c>
      <c r="E48" s="45">
        <f t="shared" si="6"/>
        <v>-40.749104526249972</v>
      </c>
      <c r="F48" s="45">
        <f t="shared" si="3"/>
        <v>40</v>
      </c>
      <c r="G48" s="45">
        <f t="shared" si="8"/>
        <v>8.8806093556035446</v>
      </c>
      <c r="H48" s="45">
        <f t="shared" si="3"/>
        <v>31.119390644396454</v>
      </c>
      <c r="K48">
        <v>15</v>
      </c>
      <c r="L48">
        <v>40</v>
      </c>
      <c r="M48" s="45">
        <f>MAX(alpha*M47+(1+alpha)/2*(L48-L47),0)</f>
        <v>0</v>
      </c>
      <c r="N48" s="45">
        <f t="shared" si="5"/>
        <v>40</v>
      </c>
      <c r="O48" s="45">
        <f>MAX(alpha*O49+(1+alpha)/2*(N48-N49),0)</f>
        <v>4.95</v>
      </c>
      <c r="P48" s="45">
        <f t="shared" si="1"/>
        <v>35.049999999999997</v>
      </c>
      <c r="Q48" s="45">
        <f>MAX(alpha*Q47+(1+alpha)/2*(P48-P47),0)</f>
        <v>26.036931126141109</v>
      </c>
      <c r="R48" s="45">
        <f t="shared" si="1"/>
        <v>9.013068873858888</v>
      </c>
    </row>
    <row r="49" spans="1:18" x14ac:dyDescent="0.35">
      <c r="A49">
        <v>16</v>
      </c>
      <c r="B49">
        <v>35</v>
      </c>
      <c r="C49" s="45">
        <f t="shared" si="7"/>
        <v>-73.051719504425989</v>
      </c>
      <c r="D49" s="45">
        <f t="shared" si="3"/>
        <v>35</v>
      </c>
      <c r="E49" s="45">
        <f t="shared" si="6"/>
        <v>-46.631739312499974</v>
      </c>
      <c r="F49" s="45">
        <f t="shared" si="3"/>
        <v>35</v>
      </c>
      <c r="G49" s="45">
        <f t="shared" si="8"/>
        <v>3.7529971684914729</v>
      </c>
      <c r="H49" s="45">
        <f t="shared" si="3"/>
        <v>31.247002831508528</v>
      </c>
      <c r="K49">
        <v>16</v>
      </c>
      <c r="L49">
        <v>35</v>
      </c>
      <c r="M49" s="45">
        <f>MAX(alpha*M48+(1+alpha)/2*(L49-L48),0)</f>
        <v>0</v>
      </c>
      <c r="N49" s="45">
        <f t="shared" si="5"/>
        <v>35</v>
      </c>
      <c r="O49" s="45">
        <f>MAX(alpha*O50+(1+alpha)/2*(N49-N50),0)</f>
        <v>0</v>
      </c>
      <c r="P49" s="45">
        <f t="shared" si="1"/>
        <v>35</v>
      </c>
      <c r="Q49" s="45">
        <f>MAX(alpha*Q48+(1+alpha)/2*(P49-P48),0)</f>
        <v>25.466692503618287</v>
      </c>
      <c r="R49" s="45">
        <f t="shared" si="1"/>
        <v>9.5333074963817133</v>
      </c>
    </row>
    <row r="50" spans="1:18" x14ac:dyDescent="0.35">
      <c r="A50">
        <v>17</v>
      </c>
      <c r="B50">
        <v>73</v>
      </c>
      <c r="C50" s="45">
        <f t="shared" si="7"/>
        <v>-33.970685114337478</v>
      </c>
      <c r="D50" s="45">
        <f t="shared" si="3"/>
        <v>73</v>
      </c>
      <c r="E50" s="45">
        <f t="shared" si="6"/>
        <v>-9.195652359693856</v>
      </c>
      <c r="F50" s="45">
        <f t="shared" si="3"/>
        <v>73</v>
      </c>
      <c r="G50" s="45">
        <f t="shared" si="8"/>
        <v>41.297937225121643</v>
      </c>
      <c r="H50" s="45">
        <f t="shared" si="3"/>
        <v>31.702062774878357</v>
      </c>
      <c r="K50">
        <v>17</v>
      </c>
      <c r="L50">
        <v>73</v>
      </c>
      <c r="M50" s="45">
        <f>MAX(alpha*M49+(1+alpha)/2*(L50-L49),0)</f>
        <v>37.619999999999997</v>
      </c>
      <c r="N50" s="45">
        <f t="shared" si="5"/>
        <v>35.380000000000003</v>
      </c>
      <c r="O50" s="45">
        <f>MAX(alpha*O51+(1+alpha)/2*(N50-N51),0)</f>
        <v>0</v>
      </c>
      <c r="P50" s="45">
        <f t="shared" si="1"/>
        <v>35.380000000000003</v>
      </c>
      <c r="Q50" s="45">
        <f>MAX(alpha*Q49+(1+alpha)/2*(P50-P49),0)</f>
        <v>25.333558653545921</v>
      </c>
      <c r="R50" s="45">
        <f t="shared" si="1"/>
        <v>10.046441346454081</v>
      </c>
    </row>
    <row r="51" spans="1:18" x14ac:dyDescent="0.35">
      <c r="A51">
        <v>18</v>
      </c>
      <c r="B51">
        <v>82</v>
      </c>
      <c r="C51" s="45">
        <f t="shared" si="7"/>
        <v>-24.381271412050726</v>
      </c>
      <c r="D51" s="45">
        <f t="shared" si="3"/>
        <v>82</v>
      </c>
      <c r="E51" s="45">
        <f t="shared" si="6"/>
        <v>-0.29148199968760835</v>
      </c>
      <c r="F51" s="45">
        <f t="shared" si="3"/>
        <v>82</v>
      </c>
      <c r="G51" s="45">
        <f t="shared" si="8"/>
        <v>49.38197848061921</v>
      </c>
      <c r="H51" s="45">
        <f t="shared" si="3"/>
        <v>32.61802151938079</v>
      </c>
      <c r="K51">
        <v>18</v>
      </c>
      <c r="L51">
        <v>82</v>
      </c>
      <c r="M51" s="45">
        <f>MAX(alpha*M50+(1+alpha)/2*(L51-L50),0)</f>
        <v>45.777599999999993</v>
      </c>
      <c r="N51" s="45">
        <f t="shared" si="5"/>
        <v>36.222400000000007</v>
      </c>
      <c r="O51" s="45">
        <f>MAX(alpha*O52+(1+alpha)/2*(N51-N52),0)</f>
        <v>0</v>
      </c>
      <c r="P51" s="45">
        <f t="shared" si="1"/>
        <v>36.222400000000007</v>
      </c>
      <c r="Q51" s="45">
        <f>MAX(alpha*Q50+(1+alpha)/2*(P51-P50),0)</f>
        <v>25.660863480475005</v>
      </c>
      <c r="R51" s="45">
        <f t="shared" si="1"/>
        <v>10.561536519525003</v>
      </c>
    </row>
    <row r="52" spans="1:18" x14ac:dyDescent="0.35">
      <c r="A52">
        <v>19</v>
      </c>
      <c r="B52">
        <v>342</v>
      </c>
      <c r="C52" s="45">
        <f t="shared" si="7"/>
        <v>233.50635401619027</v>
      </c>
      <c r="D52" s="45">
        <f t="shared" si="3"/>
        <v>108.49364598380973</v>
      </c>
      <c r="E52" s="45">
        <f t="shared" si="6"/>
        <v>26.466558698249003</v>
      </c>
      <c r="F52" s="45">
        <f t="shared" si="3"/>
        <v>82.027087285560725</v>
      </c>
      <c r="G52" s="45">
        <f t="shared" si="8"/>
        <v>48.421155323711943</v>
      </c>
      <c r="H52" s="45">
        <f t="shared" si="3"/>
        <v>33.605931961848782</v>
      </c>
      <c r="K52">
        <v>19</v>
      </c>
      <c r="L52">
        <v>342</v>
      </c>
      <c r="M52" s="45">
        <f>MAX(alpha*M51+(1+alpha)/2*(L52-L51),0)</f>
        <v>302.26204799999999</v>
      </c>
      <c r="N52" s="45">
        <f t="shared" si="5"/>
        <v>39.737952000000007</v>
      </c>
      <c r="O52" s="45">
        <f>MAX(alpha*O53+(1+alpha)/2*(N52-N53),0)</f>
        <v>0</v>
      </c>
      <c r="P52" s="45">
        <f t="shared" si="1"/>
        <v>39.737952000000007</v>
      </c>
      <c r="Q52" s="45">
        <f>MAX(alpha*Q51+(1+alpha)/2*(P52-P51),0)</f>
        <v>28.628042690865502</v>
      </c>
      <c r="R52" s="45">
        <f t="shared" si="1"/>
        <v>11.109909309134505</v>
      </c>
    </row>
    <row r="53" spans="1:18" x14ac:dyDescent="0.35">
      <c r="A53">
        <v>20</v>
      </c>
      <c r="B53">
        <v>393</v>
      </c>
      <c r="C53" s="45">
        <f t="shared" si="7"/>
        <v>279.32622693586643</v>
      </c>
      <c r="D53" s="45">
        <f t="shared" si="3"/>
        <v>113.67377306413357</v>
      </c>
      <c r="E53" s="45">
        <f t="shared" si="6"/>
        <v>32.23967806915266</v>
      </c>
      <c r="F53" s="45">
        <f t="shared" si="3"/>
        <v>81.43409499498091</v>
      </c>
      <c r="G53" s="45">
        <f t="shared" si="8"/>
        <v>46.865669849563687</v>
      </c>
      <c r="H53" s="45">
        <f t="shared" si="3"/>
        <v>34.568425145417223</v>
      </c>
      <c r="K53">
        <v>20</v>
      </c>
      <c r="L53">
        <v>393</v>
      </c>
      <c r="M53" s="45">
        <f>MAX(alpha*M52+(1+alpha)/2*(L53-L52),0)</f>
        <v>346.70680704</v>
      </c>
      <c r="N53" s="45">
        <f t="shared" si="5"/>
        <v>46.293192959999999</v>
      </c>
      <c r="O53" s="45">
        <f>MAX(alpha*O54+(1+alpha)/2*(N53-N54),0)</f>
        <v>0</v>
      </c>
      <c r="P53" s="45">
        <f t="shared" si="1"/>
        <v>46.293192959999999</v>
      </c>
      <c r="Q53" s="45">
        <f>MAX(alpha*Q52+(1+alpha)/2*(P53-P52),0)</f>
        <v>34.545170387448181</v>
      </c>
      <c r="R53" s="45">
        <f t="shared" si="1"/>
        <v>11.748022572551818</v>
      </c>
    </row>
    <row r="54" spans="1:18" x14ac:dyDescent="0.35">
      <c r="A54">
        <v>21</v>
      </c>
      <c r="B54">
        <v>310</v>
      </c>
      <c r="C54" s="45">
        <f t="shared" si="7"/>
        <v>191.56970239714906</v>
      </c>
      <c r="D54" s="45">
        <f t="shared" si="3"/>
        <v>118.43029760285094</v>
      </c>
      <c r="E54" s="45">
        <f t="shared" si="6"/>
        <v>37.702691186206998</v>
      </c>
      <c r="F54" s="45">
        <f t="shared" si="3"/>
        <v>80.727606416643937</v>
      </c>
      <c r="G54" s="45">
        <f t="shared" si="8"/>
        <v>45.228932760018814</v>
      </c>
      <c r="H54" s="45">
        <f t="shared" si="3"/>
        <v>35.498673656625122</v>
      </c>
      <c r="K54">
        <v>21</v>
      </c>
      <c r="L54">
        <v>310</v>
      </c>
      <c r="M54" s="45">
        <f>MAX(alpha*M53+(1+alpha)/2*(L54-L53),0)</f>
        <v>257.60267089920001</v>
      </c>
      <c r="N54" s="45">
        <f t="shared" si="5"/>
        <v>52.397329100799993</v>
      </c>
      <c r="O54" s="45">
        <f>MAX(alpha*O55+(1+alpha)/2*(N54-N55),0)</f>
        <v>1.7071063085606379</v>
      </c>
      <c r="P54" s="45">
        <f t="shared" si="1"/>
        <v>50.690222792239354</v>
      </c>
      <c r="Q54" s="45">
        <f>MAX(alpha*Q53+(1+alpha)/2*(P54-P53),0)</f>
        <v>38.207326513616181</v>
      </c>
      <c r="R54" s="45">
        <f t="shared" si="1"/>
        <v>12.482896278623173</v>
      </c>
    </row>
    <row r="55" spans="1:18" x14ac:dyDescent="0.35">
      <c r="A55">
        <v>22</v>
      </c>
      <c r="B55">
        <v>275</v>
      </c>
      <c r="C55" s="45">
        <f t="shared" si="7"/>
        <v>153.08830834920607</v>
      </c>
      <c r="D55" s="45">
        <f t="shared" si="3"/>
        <v>121.91169165079393</v>
      </c>
      <c r="E55" s="45">
        <f t="shared" si="6"/>
        <v>41.989052340480157</v>
      </c>
      <c r="F55" s="45">
        <f t="shared" si="3"/>
        <v>79.92263931031377</v>
      </c>
      <c r="G55" s="45">
        <f t="shared" si="8"/>
        <v>43.527436669551577</v>
      </c>
      <c r="H55" s="45">
        <f t="shared" si="3"/>
        <v>36.395202640762193</v>
      </c>
      <c r="K55">
        <v>22</v>
      </c>
      <c r="L55">
        <v>275</v>
      </c>
      <c r="M55" s="45">
        <f>MAX(alpha*M54+(1+alpha)/2*(L55-L54),0)</f>
        <v>217.80061748121599</v>
      </c>
      <c r="N55" s="45">
        <f t="shared" si="5"/>
        <v>57.199382518784006</v>
      </c>
      <c r="O55" s="45">
        <f>MAX(alpha*O56+(1+alpha)/2*(N55-N56),0)</f>
        <v>6.5929991758824595</v>
      </c>
      <c r="P55" s="45">
        <f t="shared" si="1"/>
        <v>50.606383342901545</v>
      </c>
      <c r="Q55" s="45">
        <f>MAX(alpha*Q54+(1+alpha)/2*(P55-P54),0)</f>
        <v>37.360178928499423</v>
      </c>
      <c r="R55" s="45">
        <f t="shared" si="1"/>
        <v>13.246204414402122</v>
      </c>
    </row>
    <row r="56" spans="1:18" x14ac:dyDescent="0.35">
      <c r="A56">
        <v>23</v>
      </c>
      <c r="B56">
        <v>260</v>
      </c>
      <c r="C56" s="45">
        <f t="shared" si="7"/>
        <v>135.17654218222197</v>
      </c>
      <c r="D56" s="45">
        <f t="shared" si="3"/>
        <v>124.82345781777803</v>
      </c>
      <c r="E56" s="45">
        <f t="shared" si="6"/>
        <v>45.787449842647369</v>
      </c>
      <c r="F56" s="45">
        <f t="shared" si="3"/>
        <v>79.036007975130673</v>
      </c>
      <c r="G56" s="45">
        <f t="shared" si="8"/>
        <v>41.779122914329278</v>
      </c>
      <c r="H56" s="45">
        <f t="shared" si="3"/>
        <v>37.256885060801395</v>
      </c>
      <c r="K56">
        <v>23</v>
      </c>
      <c r="L56">
        <v>260</v>
      </c>
      <c r="M56" s="45">
        <f>MAX(alpha*M55+(1+alpha)/2*(L56-L55),0)</f>
        <v>198.59460513159166</v>
      </c>
      <c r="N56" s="45">
        <f t="shared" si="5"/>
        <v>61.405394868408337</v>
      </c>
      <c r="O56" s="45">
        <f>MAX(alpha*O57+(1+alpha)/2*(N56-N57),0)</f>
        <v>10.976481022459742</v>
      </c>
      <c r="P56" s="45">
        <f t="shared" si="1"/>
        <v>50.428913845948593</v>
      </c>
      <c r="Q56" s="45">
        <f>MAX(alpha*Q55+(1+alpha)/2*(P56-P55),0)</f>
        <v>36.43728054794601</v>
      </c>
      <c r="R56" s="45">
        <f t="shared" si="1"/>
        <v>13.991633298002583</v>
      </c>
    </row>
    <row r="57" spans="1:18" x14ac:dyDescent="0.35">
      <c r="A57">
        <v>24</v>
      </c>
      <c r="B57">
        <v>245</v>
      </c>
      <c r="C57" s="45">
        <f t="shared" si="7"/>
        <v>117.62301133857753</v>
      </c>
      <c r="D57" s="45">
        <f t="shared" si="3"/>
        <v>127.37698866142247</v>
      </c>
      <c r="E57" s="45">
        <f t="shared" si="6"/>
        <v>49.301474875362615</v>
      </c>
      <c r="F57" s="45">
        <f t="shared" si="3"/>
        <v>78.075513786059858</v>
      </c>
      <c r="G57" s="45">
        <f t="shared" si="8"/>
        <v>39.992651208862583</v>
      </c>
      <c r="H57" s="45">
        <f t="shared" si="3"/>
        <v>38.082862577197275</v>
      </c>
      <c r="K57">
        <v>24</v>
      </c>
      <c r="L57">
        <v>245</v>
      </c>
      <c r="M57" s="45">
        <f>MAX(alpha*M56+(1+alpha)/2*(L57-L56),0)</f>
        <v>179.77271302895983</v>
      </c>
      <c r="N57" s="45">
        <f t="shared" si="5"/>
        <v>65.227286971040172</v>
      </c>
      <c r="O57" s="45">
        <f>MAX(alpha*O58+(1+alpha)/2*(N57-N58),0)</f>
        <v>15.061381840882918</v>
      </c>
      <c r="P57" s="45">
        <f t="shared" si="1"/>
        <v>50.165905130157256</v>
      </c>
      <c r="Q57" s="45">
        <f>MAX(alpha*Q56+(1+alpha)/2*(P57-P56),0)</f>
        <v>35.44815630835366</v>
      </c>
      <c r="R57" s="45">
        <f t="shared" si="1"/>
        <v>14.717748821803596</v>
      </c>
    </row>
    <row r="58" spans="1:18" x14ac:dyDescent="0.35">
      <c r="A58">
        <v>25</v>
      </c>
      <c r="B58">
        <v>256</v>
      </c>
      <c r="C58" s="45">
        <f t="shared" si="7"/>
        <v>126.16055111180597</v>
      </c>
      <c r="D58" s="45">
        <f t="shared" si="3"/>
        <v>129.83944888819403</v>
      </c>
      <c r="E58" s="45">
        <f t="shared" si="6"/>
        <v>52.795214795782101</v>
      </c>
      <c r="F58" s="45">
        <f t="shared" si="3"/>
        <v>77.044234092411926</v>
      </c>
      <c r="G58" s="45">
        <f t="shared" si="8"/>
        <v>38.17183128797388</v>
      </c>
      <c r="H58" s="45">
        <f t="shared" si="3"/>
        <v>38.872402804438046</v>
      </c>
      <c r="K58">
        <v>25</v>
      </c>
      <c r="L58">
        <v>256</v>
      </c>
      <c r="M58" s="45">
        <f>MAX(alpha*M57+(1+alpha)/2*(L58-L57),0)</f>
        <v>187.06725876838061</v>
      </c>
      <c r="N58" s="45">
        <f t="shared" si="5"/>
        <v>68.932741231619389</v>
      </c>
      <c r="O58" s="45">
        <f>MAX(alpha*O59+(1+alpha)/2*(N58-N59),0)</f>
        <v>19.112021998833001</v>
      </c>
      <c r="P58" s="45">
        <f t="shared" si="1"/>
        <v>49.820719232786388</v>
      </c>
      <c r="Q58" s="45">
        <f>MAX(alpha*Q57+(1+alpha)/2*(P58-P57),0)</f>
        <v>34.397459143789433</v>
      </c>
      <c r="R58" s="45">
        <f t="shared" si="1"/>
        <v>15.423260088996955</v>
      </c>
    </row>
    <row r="59" spans="1:18" x14ac:dyDescent="0.35">
      <c r="A59">
        <v>26</v>
      </c>
      <c r="B59">
        <v>141</v>
      </c>
      <c r="C59" s="45">
        <f t="shared" si="7"/>
        <v>9.7873400895698524</v>
      </c>
      <c r="D59" s="45">
        <f t="shared" si="3"/>
        <v>131.21265991043015</v>
      </c>
      <c r="E59" s="45">
        <f t="shared" si="6"/>
        <v>55.259891538567203</v>
      </c>
      <c r="F59" s="45">
        <f t="shared" si="3"/>
        <v>75.952768371862945</v>
      </c>
      <c r="G59" s="45">
        <f t="shared" si="8"/>
        <v>36.327843598870913</v>
      </c>
      <c r="H59" s="45">
        <f t="shared" si="3"/>
        <v>39.624924772992031</v>
      </c>
      <c r="K59">
        <v>26</v>
      </c>
      <c r="L59">
        <v>141</v>
      </c>
      <c r="M59" s="45">
        <f>MAX(alpha*M58+(1+alpha)/2*(L59-L58),0)</f>
        <v>69.47591359301299</v>
      </c>
      <c r="N59" s="45">
        <f t="shared" si="5"/>
        <v>71.52408640698701</v>
      </c>
      <c r="O59" s="45">
        <f>MAX(alpha*O60+(1+alpha)/2*(N59-N60),0)</f>
        <v>22.11985073719076</v>
      </c>
      <c r="P59" s="45">
        <f t="shared" si="1"/>
        <v>49.40423566979625</v>
      </c>
      <c r="Q59" s="45">
        <f>MAX(alpha*Q58+(1+alpha)/2*(P59-P58),0)</f>
        <v>33.297191233553406</v>
      </c>
      <c r="R59" s="45">
        <f t="shared" si="1"/>
        <v>16.107044436242845</v>
      </c>
    </row>
    <row r="60" spans="1:18" x14ac:dyDescent="0.35">
      <c r="A60">
        <v>27</v>
      </c>
      <c r="B60">
        <v>119</v>
      </c>
      <c r="C60" s="45">
        <f t="shared" si="7"/>
        <v>-12.188406712221546</v>
      </c>
      <c r="D60" s="45">
        <f t="shared" si="3"/>
        <v>119</v>
      </c>
      <c r="E60" s="45">
        <f t="shared" si="6"/>
        <v>44.05036553800138</v>
      </c>
      <c r="F60" s="45">
        <f t="shared" si="3"/>
        <v>74.949634461998613</v>
      </c>
      <c r="G60" s="45">
        <f t="shared" si="8"/>
        <v>34.608184156127805</v>
      </c>
      <c r="H60" s="45">
        <f t="shared" si="3"/>
        <v>40.341450305870808</v>
      </c>
      <c r="K60">
        <v>27</v>
      </c>
      <c r="L60">
        <v>119</v>
      </c>
      <c r="M60" s="45">
        <f>MAX(alpha*M59+(1+alpha)/2*(L60-L59),0)</f>
        <v>46.306395321152735</v>
      </c>
      <c r="N60" s="45">
        <f t="shared" si="5"/>
        <v>72.693604678847265</v>
      </c>
      <c r="O60" s="45">
        <f>MAX(alpha*O61+(1+alpha)/2*(N60-N61),0)</f>
        <v>23.752728394216746</v>
      </c>
      <c r="P60" s="45">
        <f t="shared" si="1"/>
        <v>48.940876284630519</v>
      </c>
      <c r="Q60" s="45">
        <f>MAX(alpha*Q59+(1+alpha)/2*(P60-P59),0)</f>
        <v>32.172521617568265</v>
      </c>
      <c r="R60" s="45">
        <f t="shared" si="1"/>
        <v>16.768354667062255</v>
      </c>
    </row>
    <row r="61" spans="1:18" x14ac:dyDescent="0.35">
      <c r="A61">
        <v>28</v>
      </c>
      <c r="B61">
        <v>934</v>
      </c>
      <c r="C61" s="45">
        <f t="shared" si="7"/>
        <v>794.90536142202291</v>
      </c>
      <c r="D61" s="45">
        <f t="shared" si="3"/>
        <v>139.09463857797709</v>
      </c>
      <c r="E61" s="45">
        <f t="shared" si="6"/>
        <v>65.249038500202758</v>
      </c>
      <c r="F61" s="45">
        <f t="shared" si="3"/>
        <v>73.845600077774336</v>
      </c>
      <c r="G61" s="45">
        <f t="shared" si="8"/>
        <v>32.823026432623209</v>
      </c>
      <c r="H61" s="45">
        <f t="shared" si="3"/>
        <v>41.022573645151127</v>
      </c>
      <c r="K61">
        <v>28</v>
      </c>
      <c r="L61">
        <v>934</v>
      </c>
      <c r="M61" s="45">
        <f>MAX(alpha*M60+(1+alpha)/2*(L61-L60),0)</f>
        <v>852.23026741472972</v>
      </c>
      <c r="N61" s="45">
        <f t="shared" si="5"/>
        <v>81.769732585270276</v>
      </c>
      <c r="O61" s="45">
        <f>MAX(alpha*O62+(1+alpha)/2*(N61-N62),0)</f>
        <v>33.406219409770941</v>
      </c>
      <c r="P61" s="45">
        <f t="shared" si="1"/>
        <v>48.363513175499335</v>
      </c>
      <c r="Q61" s="45">
        <f>MAX(alpha*Q60+(1+alpha)/2*(P61-P60),0)</f>
        <v>30.957481707177028</v>
      </c>
      <c r="R61" s="45">
        <f t="shared" si="1"/>
        <v>17.406031468322308</v>
      </c>
    </row>
    <row r="62" spans="1:18" x14ac:dyDescent="0.35">
      <c r="A62">
        <v>29</v>
      </c>
      <c r="B62">
        <v>382</v>
      </c>
      <c r="C62" s="45">
        <f t="shared" si="7"/>
        <v>232.52725419358239</v>
      </c>
      <c r="D62" s="45">
        <f t="shared" si="3"/>
        <v>149.47274580641761</v>
      </c>
      <c r="E62" s="45">
        <f t="shared" si="6"/>
        <v>77.064657812611088</v>
      </c>
      <c r="F62" s="45">
        <f t="shared" si="3"/>
        <v>72.408087993806518</v>
      </c>
      <c r="G62" s="45">
        <f t="shared" si="8"/>
        <v>30.743428940842602</v>
      </c>
      <c r="H62" s="45">
        <f t="shared" si="3"/>
        <v>41.664659052963913</v>
      </c>
      <c r="K62">
        <v>29</v>
      </c>
      <c r="L62">
        <v>382</v>
      </c>
      <c r="M62" s="45">
        <f>MAX(alpha*M61+(1+alpha)/2*(L62-L61),0)</f>
        <v>288.70566206643514</v>
      </c>
      <c r="N62" s="45">
        <f t="shared" si="5"/>
        <v>93.294337933564861</v>
      </c>
      <c r="O62" s="45">
        <f>MAX(alpha*O63+(1+alpha)/2*(N62-N63),0)</f>
        <v>45.730182351614886</v>
      </c>
      <c r="P62" s="45">
        <f t="shared" si="1"/>
        <v>47.564155581949976</v>
      </c>
      <c r="Q62" s="45">
        <f>MAX(alpha*Q61+(1+alpha)/2*(P62-P61),0)</f>
        <v>29.546968055419622</v>
      </c>
      <c r="R62" s="45">
        <f t="shared" si="1"/>
        <v>18.017187526530353</v>
      </c>
    </row>
    <row r="63" spans="1:18" x14ac:dyDescent="0.35">
      <c r="A63">
        <v>30</v>
      </c>
      <c r="B63">
        <v>158</v>
      </c>
      <c r="C63" s="45">
        <f t="shared" si="7"/>
        <v>6.1167091097107402</v>
      </c>
      <c r="D63" s="45">
        <f t="shared" si="3"/>
        <v>151.88329089028926</v>
      </c>
      <c r="E63" s="45">
        <f t="shared" si="6"/>
        <v>81.072548413922476</v>
      </c>
      <c r="F63" s="45">
        <f t="shared" si="3"/>
        <v>70.810742476366784</v>
      </c>
      <c r="G63" s="45">
        <f t="shared" si="8"/>
        <v>28.547188299760411</v>
      </c>
      <c r="H63" s="45">
        <f t="shared" si="3"/>
        <v>42.263554176606377</v>
      </c>
      <c r="K63">
        <v>30</v>
      </c>
      <c r="L63">
        <v>158</v>
      </c>
      <c r="M63" s="45">
        <f>MAX(alpha*M62+(1+alpha)/2*(L63-L62),0)</f>
        <v>61.171548825106413</v>
      </c>
      <c r="N63" s="45">
        <f t="shared" si="5"/>
        <v>96.828451174893587</v>
      </c>
      <c r="O63" s="45">
        <f>MAX(alpha*O64+(1+alpha)/2*(N63-N64),0)</f>
        <v>50.233627000541148</v>
      </c>
      <c r="P63" s="45">
        <f t="shared" si="1"/>
        <v>46.594824174352439</v>
      </c>
      <c r="Q63" s="45">
        <f>MAX(alpha*Q62+(1+alpha)/2*(P63-P62),0)</f>
        <v>27.996390600789667</v>
      </c>
      <c r="R63" s="45">
        <f t="shared" si="1"/>
        <v>18.598433573562772</v>
      </c>
    </row>
    <row r="64" spans="1:18" x14ac:dyDescent="0.35">
      <c r="A64">
        <v>31</v>
      </c>
      <c r="B64">
        <v>96</v>
      </c>
      <c r="C64" s="45">
        <f t="shared" si="7"/>
        <v>-55.385625072483478</v>
      </c>
      <c r="D64" s="45">
        <f t="shared" si="3"/>
        <v>96</v>
      </c>
      <c r="E64" s="45">
        <f t="shared" si="6"/>
        <v>26.273561665853176</v>
      </c>
      <c r="F64" s="45">
        <f t="shared" si="3"/>
        <v>69.72643833414682</v>
      </c>
      <c r="G64" s="45">
        <f t="shared" si="8"/>
        <v>26.902783432967436</v>
      </c>
      <c r="H64" s="45">
        <f t="shared" si="3"/>
        <v>42.823654901179381</v>
      </c>
      <c r="K64">
        <v>31</v>
      </c>
      <c r="L64">
        <v>96</v>
      </c>
      <c r="M64" s="45">
        <f>MAX(alpha*M63+(1+alpha)/2*(L64-L63),0)</f>
        <v>0</v>
      </c>
      <c r="N64" s="45">
        <f t="shared" si="5"/>
        <v>96</v>
      </c>
      <c r="O64" s="45">
        <f>MAX(alpha*O65+(1+alpha)/2*(N64-N65),0)</f>
        <v>50.421898303465809</v>
      </c>
      <c r="P64" s="45">
        <f t="shared" si="1"/>
        <v>45.578101696534191</v>
      </c>
      <c r="Q64" s="45">
        <f>MAX(alpha*Q63+(1+alpha)/2*(P64-P63),0)</f>
        <v>26.429907535733808</v>
      </c>
      <c r="R64" s="45">
        <f t="shared" si="1"/>
        <v>19.148194160800383</v>
      </c>
    </row>
    <row r="65" spans="1:18" x14ac:dyDescent="0.35">
      <c r="A65">
        <v>32</v>
      </c>
      <c r="B65">
        <v>122</v>
      </c>
      <c r="C65" s="45">
        <f t="shared" si="7"/>
        <v>-28.537912571033811</v>
      </c>
      <c r="D65" s="45">
        <f t="shared" si="3"/>
        <v>122</v>
      </c>
      <c r="E65" s="45">
        <f t="shared" si="6"/>
        <v>53.075062924339974</v>
      </c>
      <c r="F65" s="45">
        <f t="shared" si="3"/>
        <v>68.924937075660026</v>
      </c>
      <c r="G65" s="45">
        <f t="shared" si="8"/>
        <v>25.571241518406158</v>
      </c>
      <c r="H65" s="45">
        <f t="shared" si="3"/>
        <v>43.353695557253872</v>
      </c>
      <c r="K65">
        <v>32</v>
      </c>
      <c r="L65">
        <v>122</v>
      </c>
      <c r="M65" s="45">
        <f>MAX(alpha*M64+(1+alpha)/2*(L65-L64),0)</f>
        <v>25.74</v>
      </c>
      <c r="N65" s="45">
        <f t="shared" si="5"/>
        <v>96.26</v>
      </c>
      <c r="O65" s="45">
        <f>MAX(alpha*O66+(1+alpha)/2*(N65-N66),0)</f>
        <v>51.713569697414094</v>
      </c>
      <c r="P65" s="45">
        <f t="shared" si="1"/>
        <v>44.546430302585911</v>
      </c>
      <c r="Q65" s="45">
        <f>MAX(alpha*Q64+(1+alpha)/2*(P65-P64),0)</f>
        <v>24.879954705010334</v>
      </c>
      <c r="R65" s="45">
        <f t="shared" si="1"/>
        <v>19.666475597575577</v>
      </c>
    </row>
    <row r="66" spans="1:18" x14ac:dyDescent="0.35">
      <c r="A66">
        <v>33</v>
      </c>
      <c r="B66">
        <v>103</v>
      </c>
      <c r="C66" s="45">
        <f t="shared" si="7"/>
        <v>-46.777154319613132</v>
      </c>
      <c r="D66" s="45">
        <f t="shared" si="3"/>
        <v>103</v>
      </c>
      <c r="E66" s="45">
        <f t="shared" si="6"/>
        <v>34.964349922795897</v>
      </c>
      <c r="F66" s="45">
        <f t="shared" si="3"/>
        <v>68.03565007720411</v>
      </c>
      <c r="G66" s="45">
        <f t="shared" si="8"/>
        <v>24.179422559566678</v>
      </c>
      <c r="H66" s="45">
        <f t="shared" si="3"/>
        <v>43.856227517637436</v>
      </c>
      <c r="K66">
        <v>33</v>
      </c>
      <c r="L66">
        <v>103</v>
      </c>
      <c r="M66" s="45">
        <f>MAX(alpha*M65+(1+alpha)/2*(L66-L65),0)</f>
        <v>6.4151999999999987</v>
      </c>
      <c r="N66" s="45">
        <f t="shared" si="5"/>
        <v>96.584800000000001</v>
      </c>
      <c r="O66" s="45">
        <f>MAX(alpha*O67+(1+alpha)/2*(N66-N67),0)</f>
        <v>53.097062956544988</v>
      </c>
      <c r="P66" s="45">
        <f t="shared" si="1"/>
        <v>43.487737043455013</v>
      </c>
      <c r="Q66" s="45">
        <f>MAX(alpha*Q65+(1+alpha)/2*(P66-P65),0)</f>
        <v>23.334249284370539</v>
      </c>
      <c r="R66" s="45">
        <f t="shared" si="1"/>
        <v>20.153487759084474</v>
      </c>
    </row>
    <row r="67" spans="1:18" x14ac:dyDescent="0.35">
      <c r="A67">
        <v>34</v>
      </c>
      <c r="B67">
        <v>83</v>
      </c>
      <c r="C67" s="45">
        <f t="shared" si="7"/>
        <v>-65.641611233220871</v>
      </c>
      <c r="D67" s="45">
        <f t="shared" si="3"/>
        <v>83</v>
      </c>
      <c r="E67" s="45">
        <f t="shared" si="6"/>
        <v>15.473826451832547</v>
      </c>
      <c r="F67" s="45">
        <f t="shared" si="3"/>
        <v>67.526173548167449</v>
      </c>
      <c r="G67" s="45">
        <f t="shared" si="8"/>
        <v>23.191452344629049</v>
      </c>
      <c r="H67" s="45">
        <f t="shared" si="3"/>
        <v>44.3347212035384</v>
      </c>
      <c r="K67">
        <v>34</v>
      </c>
      <c r="L67">
        <v>83</v>
      </c>
      <c r="M67" s="45">
        <f>MAX(alpha*M66+(1+alpha)/2*(L67-L66),0)</f>
        <v>0</v>
      </c>
      <c r="N67" s="45">
        <f t="shared" si="5"/>
        <v>83</v>
      </c>
      <c r="O67" s="45">
        <f>MAX(alpha*O68+(1+alpha)/2*(N67-N68),0)</f>
        <v>40.457256078107136</v>
      </c>
      <c r="P67" s="45">
        <f t="shared" si="1"/>
        <v>42.542743921892864</v>
      </c>
      <c r="Q67" s="45">
        <f>MAX(alpha*Q66+(1+alpha)/2*(P67-P66),0)</f>
        <v>21.932021108336599</v>
      </c>
      <c r="R67" s="45">
        <f t="shared" si="1"/>
        <v>20.610722813556265</v>
      </c>
    </row>
    <row r="68" spans="1:18" x14ac:dyDescent="0.35">
      <c r="A68">
        <v>35</v>
      </c>
      <c r="B68">
        <v>67</v>
      </c>
      <c r="C68" s="45">
        <f t="shared" si="7"/>
        <v>-80.168779008556456</v>
      </c>
      <c r="D68" s="45">
        <f t="shared" si="3"/>
        <v>67</v>
      </c>
      <c r="E68" s="45">
        <f t="shared" ref="E68:E99" si="9">alpha*E69+(1+alpha)/2*(D68-D69)</f>
        <v>-0.3736464777218913</v>
      </c>
      <c r="F68" s="45">
        <f t="shared" si="3"/>
        <v>67</v>
      </c>
      <c r="G68" s="45">
        <f t="shared" si="8"/>
        <v>22.206711485050693</v>
      </c>
      <c r="H68" s="45">
        <f t="shared" si="3"/>
        <v>44.79328851494931</v>
      </c>
      <c r="K68">
        <v>35</v>
      </c>
      <c r="L68">
        <v>67</v>
      </c>
      <c r="M68" s="45">
        <f>MAX(alpha*M67+(1+alpha)/2*(L68-L67),0)</f>
        <v>0</v>
      </c>
      <c r="N68" s="45">
        <f t="shared" si="5"/>
        <v>67</v>
      </c>
      <c r="O68" s="45">
        <f>MAX(alpha*O69+(1+alpha)/2*(N68-N69),0)</f>
        <v>25.119649059292993</v>
      </c>
      <c r="P68" s="45">
        <f t="shared" ref="P68:P130" si="10">N68-O68</f>
        <v>41.880350940707004</v>
      </c>
      <c r="Q68" s="45">
        <f>MAX(alpha*Q67+(1+alpha)/2*(P68-P67),0)</f>
        <v>20.837611634795866</v>
      </c>
      <c r="R68" s="45">
        <f t="shared" ref="R68:R130" si="11">P68-Q68</f>
        <v>21.042739305911137</v>
      </c>
    </row>
    <row r="69" spans="1:18" x14ac:dyDescent="0.35">
      <c r="A69">
        <v>36</v>
      </c>
      <c r="B69">
        <v>148</v>
      </c>
      <c r="C69" s="45">
        <f t="shared" ref="C69:C100" si="12">alpha*C68+(1+alpha)/2*(B69-B68)</f>
        <v>1.6245965716146742</v>
      </c>
      <c r="D69" s="45">
        <f t="shared" ref="D69:H130" si="13">B69-MAX(0,C69)</f>
        <v>146.37540342838531</v>
      </c>
      <c r="E69" s="45">
        <f t="shared" si="9"/>
        <v>79.804084608550582</v>
      </c>
      <c r="F69" s="45">
        <f t="shared" si="13"/>
        <v>66.57131881983473</v>
      </c>
      <c r="G69" s="45">
        <f t="shared" ref="G69:G100" si="14">alpha*G68+(1+alpha)/2*(F69-F68)</f>
        <v>21.338182886986061</v>
      </c>
      <c r="H69" s="45">
        <f t="shared" si="13"/>
        <v>45.233135932848668</v>
      </c>
      <c r="K69">
        <v>36</v>
      </c>
      <c r="L69">
        <v>148</v>
      </c>
      <c r="M69" s="45">
        <f>MAX(alpha*M68+(1+alpha)/2*(L69-L68),0)</f>
        <v>80.19</v>
      </c>
      <c r="N69" s="45">
        <f t="shared" ref="N69:N130" si="15">L69-M69</f>
        <v>67.81</v>
      </c>
      <c r="O69" s="45">
        <f>MAX(alpha*O70+(1+alpha)/2*(N69-N70),0)</f>
        <v>26.450560264584691</v>
      </c>
      <c r="P69" s="45">
        <f t="shared" si="10"/>
        <v>41.359439735415307</v>
      </c>
      <c r="Q69" s="45">
        <f>MAX(alpha*Q68+(1+alpha)/2*(P69-P68),0)</f>
        <v>19.90515730886117</v>
      </c>
      <c r="R69" s="45">
        <f t="shared" si="11"/>
        <v>21.454282426554137</v>
      </c>
    </row>
    <row r="70" spans="1:18" x14ac:dyDescent="0.35">
      <c r="A70">
        <v>37</v>
      </c>
      <c r="B70">
        <v>366</v>
      </c>
      <c r="C70" s="45">
        <f t="shared" si="12"/>
        <v>217.41210464018238</v>
      </c>
      <c r="D70" s="45">
        <f t="shared" si="13"/>
        <v>148.58789535981762</v>
      </c>
      <c r="E70" s="45">
        <f t="shared" si="9"/>
        <v>83.667807776192419</v>
      </c>
      <c r="F70" s="45">
        <f t="shared" si="13"/>
        <v>64.920087583625204</v>
      </c>
      <c r="G70" s="45">
        <f t="shared" si="14"/>
        <v>19.276700305398908</v>
      </c>
      <c r="H70" s="45">
        <f t="shared" si="13"/>
        <v>45.643387278226299</v>
      </c>
      <c r="K70">
        <v>37</v>
      </c>
      <c r="L70">
        <v>366</v>
      </c>
      <c r="M70" s="45">
        <f>MAX(alpha*M69+(1+alpha)/2*(L70-L69),0)</f>
        <v>294.40620000000001</v>
      </c>
      <c r="N70" s="45">
        <f t="shared" si="15"/>
        <v>71.593799999999987</v>
      </c>
      <c r="O70" s="45">
        <f>MAX(alpha*O71+(1+alpha)/2*(N70-N71),0)</f>
        <v>30.812777821004772</v>
      </c>
      <c r="P70" s="45">
        <f t="shared" si="10"/>
        <v>40.781022178995215</v>
      </c>
      <c r="Q70" s="45">
        <f>MAX(alpha*Q69+(1+alpha)/2*(P70-P69),0)</f>
        <v>18.934420781828056</v>
      </c>
      <c r="R70" s="45">
        <f t="shared" si="11"/>
        <v>21.846601397167159</v>
      </c>
    </row>
    <row r="71" spans="1:18" x14ac:dyDescent="0.35">
      <c r="A71">
        <v>38</v>
      </c>
      <c r="B71">
        <v>161</v>
      </c>
      <c r="C71" s="45">
        <f t="shared" si="12"/>
        <v>10.113862547378744</v>
      </c>
      <c r="D71" s="45">
        <f t="shared" si="13"/>
        <v>150.88613745262126</v>
      </c>
      <c r="E71" s="45">
        <f t="shared" si="9"/>
        <v>87.697007600069412</v>
      </c>
      <c r="F71" s="45">
        <f t="shared" si="13"/>
        <v>63.189129852551844</v>
      </c>
      <c r="G71" s="45">
        <f t="shared" si="14"/>
        <v>17.177518145528303</v>
      </c>
      <c r="H71" s="45">
        <f t="shared" si="13"/>
        <v>46.01161170702354</v>
      </c>
      <c r="K71">
        <v>38</v>
      </c>
      <c r="L71">
        <v>161</v>
      </c>
      <c r="M71" s="45">
        <f>MAX(alpha*M70+(1+alpha)/2*(L71-L70),0)</f>
        <v>85.568076000000019</v>
      </c>
      <c r="N71" s="45">
        <f t="shared" si="15"/>
        <v>75.431923999999981</v>
      </c>
      <c r="O71" s="45">
        <f>MAX(alpha*O72+(1+alpha)/2*(N71-N72),0)</f>
        <v>35.318898552045681</v>
      </c>
      <c r="P71" s="45">
        <f t="shared" si="10"/>
        <v>40.1130254479543</v>
      </c>
      <c r="Q71" s="45">
        <f>MAX(alpha*Q70+(1+alpha)/2*(P71-P70),0)</f>
        <v>17.894415602460988</v>
      </c>
      <c r="R71" s="45">
        <f t="shared" si="11"/>
        <v>22.218609845493312</v>
      </c>
    </row>
    <row r="72" spans="1:18" x14ac:dyDescent="0.35">
      <c r="A72">
        <v>39</v>
      </c>
      <c r="B72">
        <v>119</v>
      </c>
      <c r="C72" s="45">
        <f t="shared" si="12"/>
        <v>-31.668414703568828</v>
      </c>
      <c r="D72" s="45">
        <f t="shared" si="13"/>
        <v>119</v>
      </c>
      <c r="E72" s="45">
        <f t="shared" si="9"/>
        <v>57.275236246912627</v>
      </c>
      <c r="F72" s="45">
        <f t="shared" si="13"/>
        <v>61.724763753087373</v>
      </c>
      <c r="G72" s="45">
        <f t="shared" si="14"/>
        <v>15.384245344147912</v>
      </c>
      <c r="H72" s="45">
        <f t="shared" si="13"/>
        <v>46.34051840893946</v>
      </c>
      <c r="K72">
        <v>39</v>
      </c>
      <c r="L72">
        <v>119</v>
      </c>
      <c r="M72" s="45">
        <f>MAX(alpha*M71+(1+alpha)/2*(L72-L71),0)</f>
        <v>42.276714480000024</v>
      </c>
      <c r="N72" s="45">
        <f t="shared" si="15"/>
        <v>76.723285519999976</v>
      </c>
      <c r="O72" s="45">
        <f>MAX(alpha*O73+(1+alpha)/2*(N72-N73),0)</f>
        <v>37.344231078413955</v>
      </c>
      <c r="P72" s="45">
        <f t="shared" si="10"/>
        <v>39.379054441586021</v>
      </c>
      <c r="Q72" s="45">
        <f>MAX(alpha*Q71+(1+alpha)/2*(P72-P71),0)</f>
        <v>16.809895994107173</v>
      </c>
      <c r="R72" s="45">
        <f t="shared" si="11"/>
        <v>22.569158447478848</v>
      </c>
    </row>
    <row r="73" spans="1:18" x14ac:dyDescent="0.35">
      <c r="A73">
        <v>40</v>
      </c>
      <c r="B73">
        <v>82</v>
      </c>
      <c r="C73" s="45">
        <f t="shared" si="12"/>
        <v>-67.66504640949745</v>
      </c>
      <c r="D73" s="45">
        <f t="shared" si="13"/>
        <v>82</v>
      </c>
      <c r="E73" s="45">
        <f t="shared" si="9"/>
        <v>21.06656759889043</v>
      </c>
      <c r="F73" s="45">
        <f t="shared" si="13"/>
        <v>60.93343240110957</v>
      </c>
      <c r="G73" s="45">
        <f t="shared" si="14"/>
        <v>14.293142398806928</v>
      </c>
      <c r="H73" s="45">
        <f t="shared" si="13"/>
        <v>46.640290002302642</v>
      </c>
      <c r="K73">
        <v>40</v>
      </c>
      <c r="L73">
        <v>82</v>
      </c>
      <c r="M73" s="45">
        <f>MAX(alpha*M72+(1+alpha)/2*(L73-L72),0)</f>
        <v>4.801180190400018</v>
      </c>
      <c r="N73" s="45">
        <f t="shared" si="15"/>
        <v>77.198819809599982</v>
      </c>
      <c r="O73" s="45">
        <f>MAX(alpha*O74+(1+alpha)/2*(N73-N74),0)</f>
        <v>38.586744923589762</v>
      </c>
      <c r="P73" s="45">
        <f t="shared" si="10"/>
        <v>38.61207488601022</v>
      </c>
      <c r="Q73" s="45">
        <f>MAX(alpha*Q72+(1+alpha)/2*(P73-P72),0)</f>
        <v>15.714388314204987</v>
      </c>
      <c r="R73" s="45">
        <f t="shared" si="11"/>
        <v>22.897686571805231</v>
      </c>
    </row>
    <row r="74" spans="1:18" x14ac:dyDescent="0.35">
      <c r="A74">
        <v>41</v>
      </c>
      <c r="B74">
        <v>330</v>
      </c>
      <c r="C74" s="45">
        <f t="shared" si="12"/>
        <v>179.20825451869251</v>
      </c>
      <c r="D74" s="45">
        <f t="shared" si="13"/>
        <v>150.79174548130749</v>
      </c>
      <c r="E74" s="45">
        <f t="shared" si="9"/>
        <v>90.990199617739634</v>
      </c>
      <c r="F74" s="45">
        <f t="shared" si="13"/>
        <v>59.801545863567853</v>
      </c>
      <c r="G74" s="45">
        <f t="shared" si="14"/>
        <v>12.886711878664489</v>
      </c>
      <c r="H74" s="45">
        <f t="shared" si="13"/>
        <v>46.914833984903368</v>
      </c>
      <c r="K74">
        <v>41</v>
      </c>
      <c r="L74">
        <v>330</v>
      </c>
      <c r="M74" s="45">
        <f>MAX(alpha*M73+(1+alpha)/2*(L74-L73),0)</f>
        <v>250.22515658659202</v>
      </c>
      <c r="N74" s="45">
        <f t="shared" si="15"/>
        <v>79.774843413407979</v>
      </c>
      <c r="O74" s="45">
        <f>MAX(alpha*O75+(1+alpha)/2*(N74-N75),0)</f>
        <v>41.976539072815996</v>
      </c>
      <c r="P74" s="45">
        <f t="shared" si="10"/>
        <v>37.798304340591983</v>
      </c>
      <c r="Q74" s="45">
        <f>MAX(alpha*Q73+(1+alpha)/2*(P74-P73),0)</f>
        <v>14.594467707956833</v>
      </c>
      <c r="R74" s="45">
        <f t="shared" si="11"/>
        <v>23.203836632635152</v>
      </c>
    </row>
    <row r="75" spans="1:18" x14ac:dyDescent="0.35">
      <c r="A75">
        <v>42</v>
      </c>
      <c r="B75">
        <v>294</v>
      </c>
      <c r="C75" s="45">
        <f t="shared" si="12"/>
        <v>139.98408942831867</v>
      </c>
      <c r="D75" s="45">
        <f t="shared" si="13"/>
        <v>154.01591057168133</v>
      </c>
      <c r="E75" s="45">
        <f t="shared" si="9"/>
        <v>96.104207201234431</v>
      </c>
      <c r="F75" s="45">
        <f t="shared" si="13"/>
        <v>57.911703370446901</v>
      </c>
      <c r="G75" s="45">
        <f t="shared" si="14"/>
        <v>10.758033572901457</v>
      </c>
      <c r="H75" s="45">
        <f t="shared" si="13"/>
        <v>47.153669797545447</v>
      </c>
      <c r="K75">
        <v>42</v>
      </c>
      <c r="L75">
        <v>294</v>
      </c>
      <c r="M75" s="45">
        <f>MAX(alpha*M74+(1+alpha)/2*(L75-L74),0)</f>
        <v>209.58065345486017</v>
      </c>
      <c r="N75" s="45">
        <f t="shared" si="15"/>
        <v>84.419346545139831</v>
      </c>
      <c r="O75" s="45">
        <f>MAX(alpha*O76+(1+alpha)/2*(N75-N76),0)</f>
        <v>47.525099156357683</v>
      </c>
      <c r="P75" s="45">
        <f t="shared" si="10"/>
        <v>36.894247388782148</v>
      </c>
      <c r="Q75" s="45">
        <f>MAX(alpha*Q74+(1+alpha)/2*(P75-P74),0)</f>
        <v>13.40756197150596</v>
      </c>
      <c r="R75" s="45">
        <f t="shared" si="11"/>
        <v>23.486685417276188</v>
      </c>
    </row>
    <row r="76" spans="1:18" x14ac:dyDescent="0.35">
      <c r="A76">
        <v>43</v>
      </c>
      <c r="B76">
        <v>261</v>
      </c>
      <c r="C76" s="45">
        <f t="shared" si="12"/>
        <v>104.51440763975229</v>
      </c>
      <c r="D76" s="45">
        <f t="shared" si="13"/>
        <v>156.48559236024772</v>
      </c>
      <c r="E76" s="45">
        <f t="shared" si="9"/>
        <v>100.56040017542362</v>
      </c>
      <c r="F76" s="45">
        <f t="shared" si="13"/>
        <v>55.925192184824098</v>
      </c>
      <c r="G76" s="45">
        <f t="shared" si="14"/>
        <v>8.5762268276768534</v>
      </c>
      <c r="H76" s="45">
        <f t="shared" si="13"/>
        <v>47.348965357147243</v>
      </c>
      <c r="K76">
        <v>43</v>
      </c>
      <c r="L76">
        <v>261</v>
      </c>
      <c r="M76" s="45">
        <f>MAX(alpha*M75+(1+alpha)/2*(L76-L75),0)</f>
        <v>172.71904038576298</v>
      </c>
      <c r="N76" s="45">
        <f t="shared" si="15"/>
        <v>88.28095961423702</v>
      </c>
      <c r="O76" s="45">
        <f>MAX(alpha*O77+(1+alpha)/2*(N76-N77),0)</f>
        <v>52.396016423228474</v>
      </c>
      <c r="P76" s="45">
        <f t="shared" si="10"/>
        <v>35.884943191008546</v>
      </c>
      <c r="Q76" s="45">
        <f>MAX(alpha*Q75+(1+alpha)/2*(P76-P75),0)</f>
        <v>12.140199576279974</v>
      </c>
      <c r="R76" s="45">
        <f t="shared" si="11"/>
        <v>23.74474361472857</v>
      </c>
    </row>
    <row r="77" spans="1:18" x14ac:dyDescent="0.35">
      <c r="A77">
        <v>44</v>
      </c>
      <c r="B77">
        <v>266</v>
      </c>
      <c r="C77" s="45">
        <f t="shared" si="12"/>
        <v>107.37411948695724</v>
      </c>
      <c r="D77" s="45">
        <f t="shared" si="13"/>
        <v>158.62588051304277</v>
      </c>
      <c r="E77" s="45">
        <f t="shared" si="9"/>
        <v>104.77478106805177</v>
      </c>
      <c r="F77" s="45">
        <f t="shared" si="13"/>
        <v>53.851099444991007</v>
      </c>
      <c r="G77" s="45">
        <f t="shared" si="14"/>
        <v>6.3513504786885555</v>
      </c>
      <c r="H77" s="45">
        <f t="shared" si="13"/>
        <v>47.499748966302448</v>
      </c>
      <c r="K77">
        <v>44</v>
      </c>
      <c r="L77">
        <v>266</v>
      </c>
      <c r="M77" s="45">
        <f>MAX(alpha*M76+(1+alpha)/2*(L77-L76),0)</f>
        <v>174.2146595780477</v>
      </c>
      <c r="N77" s="45">
        <f t="shared" si="15"/>
        <v>91.785340421952299</v>
      </c>
      <c r="O77" s="45">
        <f>MAX(alpha*O78+(1+alpha)/2*(N77-N78),0)</f>
        <v>57.005462676394487</v>
      </c>
      <c r="P77" s="45">
        <f t="shared" si="10"/>
        <v>34.779877745557812</v>
      </c>
      <c r="Q77" s="45">
        <f>MAX(alpha*Q76+(1+alpha)/2*(P77-P76),0)</f>
        <v>10.803380793758148</v>
      </c>
      <c r="R77" s="45">
        <f t="shared" si="11"/>
        <v>23.976496951799664</v>
      </c>
    </row>
    <row r="78" spans="1:18" x14ac:dyDescent="0.35">
      <c r="A78">
        <v>45</v>
      </c>
      <c r="B78">
        <v>153</v>
      </c>
      <c r="C78" s="45">
        <f t="shared" si="12"/>
        <v>-6.6433629027819165</v>
      </c>
      <c r="D78" s="45">
        <f t="shared" si="13"/>
        <v>153</v>
      </c>
      <c r="E78" s="45">
        <f t="shared" si="9"/>
        <v>101.22975444912186</v>
      </c>
      <c r="F78" s="45">
        <f t="shared" si="13"/>
        <v>51.770245550878144</v>
      </c>
      <c r="G78" s="45">
        <f t="shared" si="14"/>
        <v>4.16427811394305</v>
      </c>
      <c r="H78" s="45">
        <f t="shared" si="13"/>
        <v>47.605967436935096</v>
      </c>
      <c r="K78">
        <v>45</v>
      </c>
      <c r="L78">
        <v>153</v>
      </c>
      <c r="M78" s="45">
        <f>MAX(alpha*M77+(1+alpha)/2*(L78-L77),0)</f>
        <v>58.860366386486731</v>
      </c>
      <c r="N78" s="45">
        <f t="shared" si="15"/>
        <v>94.139633613513269</v>
      </c>
      <c r="O78" s="45">
        <f>MAX(alpha*O79+(1+alpha)/2*(N78-N79),0)</f>
        <v>60.547156057183521</v>
      </c>
      <c r="P78" s="45">
        <f t="shared" si="10"/>
        <v>33.592477556329747</v>
      </c>
      <c r="Q78" s="45">
        <f>MAX(alpha*Q77+(1+alpha)/2*(P78-P77),0)</f>
        <v>9.4117869905472009</v>
      </c>
      <c r="R78" s="45">
        <f t="shared" si="11"/>
        <v>24.180690565782548</v>
      </c>
    </row>
    <row r="79" spans="1:18" x14ac:dyDescent="0.35">
      <c r="A79">
        <v>46</v>
      </c>
      <c r="B79">
        <v>247</v>
      </c>
      <c r="C79" s="45">
        <f t="shared" si="12"/>
        <v>86.549504355273726</v>
      </c>
      <c r="D79" s="45">
        <f t="shared" si="13"/>
        <v>160.45049564472629</v>
      </c>
      <c r="E79" s="45">
        <f t="shared" si="9"/>
        <v>110.82218891571519</v>
      </c>
      <c r="F79" s="45">
        <f t="shared" si="13"/>
        <v>49.628306729011101</v>
      </c>
      <c r="G79" s="45">
        <f t="shared" si="14"/>
        <v>1.9604731180158161</v>
      </c>
      <c r="H79" s="45">
        <f t="shared" si="13"/>
        <v>47.667833610995288</v>
      </c>
      <c r="K79">
        <v>46</v>
      </c>
      <c r="L79">
        <v>247</v>
      </c>
      <c r="M79" s="45">
        <f>MAX(alpha*M78+(1+alpha)/2*(L79-L78),0)</f>
        <v>150.74315905875699</v>
      </c>
      <c r="N79" s="45">
        <f t="shared" si="15"/>
        <v>96.256840941243013</v>
      </c>
      <c r="O79" s="45">
        <f>MAX(alpha*O80+(1+alpha)/2*(N79-N80),0)</f>
        <v>63.921623787383638</v>
      </c>
      <c r="P79" s="45">
        <f t="shared" si="10"/>
        <v>32.335217153859375</v>
      </c>
      <c r="Q79" s="45">
        <f>MAX(alpha*Q78+(1+alpha)/2*(P79-P78),0)</f>
        <v>7.9788634522905886</v>
      </c>
      <c r="R79" s="45">
        <f t="shared" si="11"/>
        <v>24.356353701568786</v>
      </c>
    </row>
    <row r="80" spans="1:18" x14ac:dyDescent="0.35">
      <c r="A80">
        <v>47</v>
      </c>
      <c r="B80">
        <v>703</v>
      </c>
      <c r="C80" s="45">
        <f t="shared" si="12"/>
        <v>536.25851426816826</v>
      </c>
      <c r="D80" s="45">
        <f t="shared" si="13"/>
        <v>166.74148573183174</v>
      </c>
      <c r="E80" s="45">
        <f t="shared" si="9"/>
        <v>119.4390501040302</v>
      </c>
      <c r="F80" s="45">
        <f t="shared" si="13"/>
        <v>47.302435627801543</v>
      </c>
      <c r="G80" s="45">
        <f t="shared" si="14"/>
        <v>-0.38134873454196194</v>
      </c>
      <c r="H80" s="45">
        <f t="shared" si="13"/>
        <v>47.302435627801543</v>
      </c>
      <c r="K80">
        <v>47</v>
      </c>
      <c r="L80">
        <v>703</v>
      </c>
      <c r="M80" s="45">
        <f>MAX(alpha*M79+(1+alpha)/2*(L80-L79),0)</f>
        <v>599.16829587758184</v>
      </c>
      <c r="N80" s="45">
        <f t="shared" si="15"/>
        <v>103.83170412241816</v>
      </c>
      <c r="O80" s="45">
        <f>MAX(alpha*O81+(1+alpha)/2*(N80-N81),0)</f>
        <v>72.878304425252082</v>
      </c>
      <c r="P80" s="45">
        <f t="shared" si="10"/>
        <v>30.953399697166077</v>
      </c>
      <c r="Q80" s="45">
        <f>MAX(alpha*Q79+(1+alpha)/2*(P80-P79),0)</f>
        <v>6.4512869011184115</v>
      </c>
      <c r="R80" s="45">
        <f t="shared" si="11"/>
        <v>24.502112796047665</v>
      </c>
    </row>
    <row r="81" spans="1:18" x14ac:dyDescent="0.35">
      <c r="A81">
        <v>48</v>
      </c>
      <c r="B81">
        <v>498</v>
      </c>
      <c r="C81" s="45">
        <f t="shared" si="12"/>
        <v>322.58334398280493</v>
      </c>
      <c r="D81" s="45">
        <f t="shared" si="13"/>
        <v>175.41665601719507</v>
      </c>
      <c r="E81" s="45">
        <f t="shared" si="9"/>
        <v>130.64027416993866</v>
      </c>
      <c r="F81" s="45">
        <f t="shared" si="13"/>
        <v>44.776381847256403</v>
      </c>
      <c r="G81" s="45">
        <f t="shared" si="14"/>
        <v>-2.8745150025908117</v>
      </c>
      <c r="H81" s="45">
        <f t="shared" si="13"/>
        <v>44.776381847256403</v>
      </c>
      <c r="K81">
        <v>48</v>
      </c>
      <c r="L81">
        <v>498</v>
      </c>
      <c r="M81" s="45">
        <f>MAX(alpha*M80+(1+alpha)/2*(L81-L80),0)</f>
        <v>384.23492996003023</v>
      </c>
      <c r="N81" s="45">
        <f t="shared" si="15"/>
        <v>113.76507003996977</v>
      </c>
      <c r="O81" s="45">
        <f>MAX(alpha*O82+(1+alpha)/2*(N81-N82),0)</f>
        <v>84.400343554722639</v>
      </c>
      <c r="P81" s="45">
        <f t="shared" si="10"/>
        <v>29.364726485247132</v>
      </c>
      <c r="Q81" s="45">
        <f>MAX(alpha*Q80+(1+alpha)/2*(P81-P80),0)</f>
        <v>4.7494746832962882</v>
      </c>
      <c r="R81" s="45">
        <f t="shared" si="11"/>
        <v>24.615251801950844</v>
      </c>
    </row>
    <row r="82" spans="1:18" x14ac:dyDescent="0.35">
      <c r="A82">
        <v>49</v>
      </c>
      <c r="B82">
        <v>286</v>
      </c>
      <c r="C82" s="45">
        <f t="shared" si="12"/>
        <v>106.25167710314884</v>
      </c>
      <c r="D82" s="45">
        <f t="shared" si="13"/>
        <v>179.74832289685116</v>
      </c>
      <c r="E82" s="45">
        <f t="shared" si="9"/>
        <v>137.68226977632469</v>
      </c>
      <c r="F82" s="45">
        <f t="shared" si="13"/>
        <v>42.066053120526476</v>
      </c>
      <c r="G82" s="45">
        <f t="shared" si="14"/>
        <v>-5.5002501420016223</v>
      </c>
      <c r="H82" s="45">
        <f t="shared" si="13"/>
        <v>42.066053120526476</v>
      </c>
      <c r="K82">
        <v>49</v>
      </c>
      <c r="L82">
        <v>286</v>
      </c>
      <c r="M82" s="45">
        <f>MAX(alpha*M81+(1+alpha)/2*(L82-L81),0)</f>
        <v>166.67023136082963</v>
      </c>
      <c r="N82" s="45">
        <f t="shared" si="15"/>
        <v>119.32976863917037</v>
      </c>
      <c r="O82" s="45">
        <f>MAX(alpha*O83+(1+alpha)/2*(N82-N83),0)</f>
        <v>91.744280783603301</v>
      </c>
      <c r="P82" s="45">
        <f t="shared" si="10"/>
        <v>27.585487855567067</v>
      </c>
      <c r="Q82" s="45">
        <f>MAX(alpha*Q81+(1+alpha)/2*(P82-P81),0)</f>
        <v>2.8930389462470973</v>
      </c>
      <c r="R82" s="45">
        <f t="shared" si="11"/>
        <v>24.692448909319971</v>
      </c>
    </row>
    <row r="83" spans="1:18" x14ac:dyDescent="0.35">
      <c r="A83">
        <v>50</v>
      </c>
      <c r="B83">
        <v>163</v>
      </c>
      <c r="C83" s="45">
        <f t="shared" si="12"/>
        <v>-17.64335643891414</v>
      </c>
      <c r="D83" s="45">
        <f t="shared" si="13"/>
        <v>163</v>
      </c>
      <c r="E83" s="45">
        <f t="shared" si="9"/>
        <v>123.57288786575718</v>
      </c>
      <c r="F83" s="45">
        <f t="shared" si="13"/>
        <v>39.427112134242819</v>
      </c>
      <c r="G83" s="45">
        <f t="shared" si="14"/>
        <v>-8.0027967155824111</v>
      </c>
      <c r="H83" s="45">
        <f t="shared" si="13"/>
        <v>39.427112134242819</v>
      </c>
      <c r="K83">
        <v>50</v>
      </c>
      <c r="L83">
        <v>163</v>
      </c>
      <c r="M83" s="45">
        <f>MAX(alpha*M82+(1+alpha)/2*(L83-L82),0)</f>
        <v>41.566826733613041</v>
      </c>
      <c r="N83" s="45">
        <f t="shared" si="15"/>
        <v>121.43317326638696</v>
      </c>
      <c r="O83" s="45">
        <f>MAX(alpha*O84+(1+alpha)/2*(N83-N84),0)</f>
        <v>95.741480984232382</v>
      </c>
      <c r="P83" s="45">
        <f t="shared" si="10"/>
        <v>25.691692282154577</v>
      </c>
      <c r="Q83" s="45">
        <f>MAX(alpha*Q82+(1+alpha)/2*(P83-P82),0)</f>
        <v>0.96032054964379032</v>
      </c>
      <c r="R83" s="45">
        <f t="shared" si="11"/>
        <v>24.731371732510787</v>
      </c>
    </row>
    <row r="84" spans="1:18" x14ac:dyDescent="0.35">
      <c r="A84">
        <v>51</v>
      </c>
      <c r="B84">
        <v>124</v>
      </c>
      <c r="C84" s="45">
        <f t="shared" si="12"/>
        <v>-55.900489310135853</v>
      </c>
      <c r="D84" s="45">
        <f t="shared" si="13"/>
        <v>124</v>
      </c>
      <c r="E84" s="45">
        <f t="shared" si="9"/>
        <v>86.696824352813451</v>
      </c>
      <c r="F84" s="45">
        <f t="shared" si="13"/>
        <v>37.303175647186549</v>
      </c>
      <c r="G84" s="45">
        <f t="shared" si="14"/>
        <v>-9.9454379034564688</v>
      </c>
      <c r="H84" s="45">
        <f t="shared" si="13"/>
        <v>37.303175647186549</v>
      </c>
      <c r="K84">
        <v>51</v>
      </c>
      <c r="L84">
        <v>124</v>
      </c>
      <c r="M84" s="45">
        <f>MAX(alpha*M83+(1+alpha)/2*(L84-L83),0)</f>
        <v>2.1254901989407813</v>
      </c>
      <c r="N84" s="45">
        <f t="shared" si="15"/>
        <v>121.87450980105922</v>
      </c>
      <c r="O84" s="45">
        <f>MAX(alpha*O85+(1+alpha)/2*(N84-N85),0)</f>
        <v>98.141228728120325</v>
      </c>
      <c r="P84" s="45">
        <f t="shared" si="10"/>
        <v>23.733281072938894</v>
      </c>
      <c r="Q84" s="45">
        <f>MAX(alpha*Q83+(1+alpha)/2*(P84-P83),0)</f>
        <v>0</v>
      </c>
      <c r="R84" s="45">
        <f t="shared" si="11"/>
        <v>23.733281072938894</v>
      </c>
    </row>
    <row r="85" spans="1:18" x14ac:dyDescent="0.35">
      <c r="A85">
        <v>52</v>
      </c>
      <c r="B85">
        <v>85</v>
      </c>
      <c r="C85" s="45">
        <f t="shared" si="12"/>
        <v>-93.392479523933133</v>
      </c>
      <c r="D85" s="45">
        <f t="shared" si="13"/>
        <v>85</v>
      </c>
      <c r="E85" s="45">
        <f t="shared" si="9"/>
        <v>49.068188115115774</v>
      </c>
      <c r="F85" s="45">
        <f t="shared" si="13"/>
        <v>35.931811884884226</v>
      </c>
      <c r="G85" s="45">
        <f t="shared" si="14"/>
        <v>-11.10417927006664</v>
      </c>
      <c r="H85" s="45">
        <f t="shared" si="13"/>
        <v>35.931811884884226</v>
      </c>
      <c r="K85">
        <v>52</v>
      </c>
      <c r="L85">
        <v>85</v>
      </c>
      <c r="M85" s="45">
        <f>MAX(alpha*M84+(1+alpha)/2*(L85-L84),0)</f>
        <v>0</v>
      </c>
      <c r="N85" s="45">
        <f t="shared" si="15"/>
        <v>85</v>
      </c>
      <c r="O85" s="45">
        <f>MAX(alpha*O86+(1+alpha)/2*(N85-N86),0)</f>
        <v>62.893330637828257</v>
      </c>
      <c r="P85" s="45">
        <f t="shared" si="10"/>
        <v>22.106669362171743</v>
      </c>
      <c r="Q85" s="45">
        <f>MAX(alpha*Q84+(1+alpha)/2*(P85-P84),0)</f>
        <v>0</v>
      </c>
      <c r="R85" s="45">
        <f t="shared" si="11"/>
        <v>22.106669362171743</v>
      </c>
    </row>
    <row r="86" spans="1:18" x14ac:dyDescent="0.35">
      <c r="A86">
        <v>53</v>
      </c>
      <c r="B86">
        <v>94</v>
      </c>
      <c r="C86" s="45">
        <f t="shared" si="12"/>
        <v>-82.614629933454466</v>
      </c>
      <c r="D86" s="45">
        <f t="shared" si="13"/>
        <v>94</v>
      </c>
      <c r="E86" s="45">
        <f t="shared" si="9"/>
        <v>59.161416443995684</v>
      </c>
      <c r="F86" s="45">
        <f t="shared" si="13"/>
        <v>34.838583556004316</v>
      </c>
      <c r="G86" s="45">
        <f t="shared" si="14"/>
        <v>-11.964391730256418</v>
      </c>
      <c r="H86" s="45">
        <f t="shared" si="13"/>
        <v>34.838583556004316</v>
      </c>
      <c r="K86">
        <v>53</v>
      </c>
      <c r="L86">
        <v>94</v>
      </c>
      <c r="M86" s="45">
        <f>MAX(alpha*M85+(1+alpha)/2*(L86-L85),0)</f>
        <v>8.91</v>
      </c>
      <c r="N86" s="45">
        <f t="shared" si="15"/>
        <v>85.09</v>
      </c>
      <c r="O86" s="45">
        <f>MAX(alpha*O87+(1+alpha)/2*(N86-N87),0)</f>
        <v>64.267786365130874</v>
      </c>
      <c r="P86" s="45">
        <f t="shared" si="10"/>
        <v>20.822213634869129</v>
      </c>
      <c r="Q86" s="45">
        <f>MAX(alpha*Q85+(1+alpha)/2*(P86-P85),0)</f>
        <v>0</v>
      </c>
      <c r="R86" s="45">
        <f t="shared" si="11"/>
        <v>20.822213634869129</v>
      </c>
    </row>
    <row r="87" spans="1:18" x14ac:dyDescent="0.35">
      <c r="A87">
        <v>54</v>
      </c>
      <c r="B87">
        <v>81</v>
      </c>
      <c r="C87" s="45">
        <f t="shared" si="12"/>
        <v>-93.832337334785379</v>
      </c>
      <c r="D87" s="45">
        <f t="shared" si="13"/>
        <v>81</v>
      </c>
      <c r="E87" s="45">
        <f t="shared" si="9"/>
        <v>47.236139228567026</v>
      </c>
      <c r="F87" s="45">
        <f t="shared" si="13"/>
        <v>33.763860771432974</v>
      </c>
      <c r="G87" s="45">
        <f t="shared" si="14"/>
        <v>-12.789079452376917</v>
      </c>
      <c r="H87" s="45">
        <f t="shared" si="13"/>
        <v>33.763860771432974</v>
      </c>
      <c r="K87">
        <v>54</v>
      </c>
      <c r="L87">
        <v>81</v>
      </c>
      <c r="M87" s="45">
        <f>MAX(alpha*M86+(1+alpha)/2*(L87-L86),0)</f>
        <v>0</v>
      </c>
      <c r="N87" s="45">
        <f t="shared" si="15"/>
        <v>81</v>
      </c>
      <c r="O87" s="45">
        <f>MAX(alpha*O88+(1+alpha)/2*(N87-N88),0)</f>
        <v>61.447639148092719</v>
      </c>
      <c r="P87" s="45">
        <f t="shared" si="10"/>
        <v>19.552360851907281</v>
      </c>
      <c r="Q87" s="45">
        <f>MAX(alpha*Q86+(1+alpha)/2*(P87-P86),0)</f>
        <v>0</v>
      </c>
      <c r="R87" s="45">
        <f t="shared" si="11"/>
        <v>19.552360851907281</v>
      </c>
    </row>
    <row r="88" spans="1:18" x14ac:dyDescent="0.35">
      <c r="A88">
        <v>55</v>
      </c>
      <c r="B88">
        <v>62</v>
      </c>
      <c r="C88" s="45">
        <f t="shared" si="12"/>
        <v>-110.76569058808967</v>
      </c>
      <c r="D88" s="45">
        <f t="shared" si="13"/>
        <v>62</v>
      </c>
      <c r="E88" s="45">
        <f t="shared" si="9"/>
        <v>29.006264518945947</v>
      </c>
      <c r="F88" s="45">
        <f t="shared" si="13"/>
        <v>32.993735481054053</v>
      </c>
      <c r="G88" s="45">
        <f t="shared" si="14"/>
        <v>-13.29572190080451</v>
      </c>
      <c r="H88" s="45">
        <f t="shared" si="13"/>
        <v>32.993735481054053</v>
      </c>
      <c r="K88">
        <v>55</v>
      </c>
      <c r="L88">
        <v>62</v>
      </c>
      <c r="M88" s="45">
        <f>MAX(alpha*M87+(1+alpha)/2*(L88-L87),0)</f>
        <v>0</v>
      </c>
      <c r="N88" s="45">
        <f t="shared" si="15"/>
        <v>62</v>
      </c>
      <c r="O88" s="45">
        <f>MAX(alpha*O89+(1+alpha)/2*(N88-N89),0)</f>
        <v>43.507795049074204</v>
      </c>
      <c r="P88" s="45">
        <f t="shared" si="10"/>
        <v>18.492204950925796</v>
      </c>
      <c r="Q88" s="45">
        <f>MAX(alpha*Q87+(1+alpha)/2*(P88-P87),0)</f>
        <v>0</v>
      </c>
      <c r="R88" s="45">
        <f t="shared" si="11"/>
        <v>18.492204950925796</v>
      </c>
    </row>
    <row r="89" spans="1:18" x14ac:dyDescent="0.35">
      <c r="A89">
        <v>56</v>
      </c>
      <c r="B89">
        <v>47</v>
      </c>
      <c r="C89" s="45">
        <f t="shared" si="12"/>
        <v>-123.40037677632787</v>
      </c>
      <c r="D89" s="45">
        <f t="shared" si="13"/>
        <v>47</v>
      </c>
      <c r="E89" s="45">
        <f t="shared" si="9"/>
        <v>14.445167876475459</v>
      </c>
      <c r="F89" s="45">
        <f t="shared" si="13"/>
        <v>32.554832123524541</v>
      </c>
      <c r="G89" s="45">
        <f t="shared" si="14"/>
        <v>-13.464321786742637</v>
      </c>
      <c r="H89" s="45">
        <f t="shared" si="13"/>
        <v>32.554832123524541</v>
      </c>
      <c r="K89">
        <v>56</v>
      </c>
      <c r="L89">
        <v>47</v>
      </c>
      <c r="M89" s="45">
        <f>MAX(alpha*M88+(1+alpha)/2*(L89-L88),0)</f>
        <v>0</v>
      </c>
      <c r="N89" s="45">
        <f t="shared" si="15"/>
        <v>47</v>
      </c>
      <c r="O89" s="45">
        <f>MAX(alpha*O90+(1+alpha)/2*(N89-N90),0)</f>
        <v>29.242648009259391</v>
      </c>
      <c r="P89" s="45">
        <f t="shared" si="10"/>
        <v>17.757351990740609</v>
      </c>
      <c r="Q89" s="45">
        <f>MAX(alpha*Q88+(1+alpha)/2*(P89-P88),0)</f>
        <v>0</v>
      </c>
      <c r="R89" s="45">
        <f t="shared" si="11"/>
        <v>17.757351990740609</v>
      </c>
    </row>
    <row r="90" spans="1:18" x14ac:dyDescent="0.35">
      <c r="A90">
        <v>57</v>
      </c>
      <c r="B90">
        <v>37</v>
      </c>
      <c r="C90" s="45">
        <f t="shared" si="12"/>
        <v>-130.83236924080131</v>
      </c>
      <c r="D90" s="45">
        <f t="shared" si="13"/>
        <v>37</v>
      </c>
      <c r="E90" s="45">
        <f t="shared" si="9"/>
        <v>4.6379264045667936</v>
      </c>
      <c r="F90" s="45">
        <f t="shared" si="13"/>
        <v>32.362073595433209</v>
      </c>
      <c r="G90" s="45">
        <f t="shared" si="14"/>
        <v>-13.385866293818202</v>
      </c>
      <c r="H90" s="45">
        <f t="shared" si="13"/>
        <v>32.362073595433209</v>
      </c>
      <c r="K90">
        <v>57</v>
      </c>
      <c r="L90">
        <v>37</v>
      </c>
      <c r="M90" s="45">
        <f>MAX(alpha*M89+(1+alpha)/2*(L90-L89),0)</f>
        <v>0</v>
      </c>
      <c r="N90" s="45">
        <f t="shared" si="15"/>
        <v>37</v>
      </c>
      <c r="O90" s="45">
        <f>MAX(alpha*O91+(1+alpha)/2*(N90-N91),0)</f>
        <v>19.737395927815705</v>
      </c>
      <c r="P90" s="45">
        <f t="shared" si="10"/>
        <v>17.262604072184295</v>
      </c>
      <c r="Q90" s="45">
        <f>MAX(alpha*Q89+(1+alpha)/2*(P90-P89),0)</f>
        <v>0</v>
      </c>
      <c r="R90" s="45">
        <f t="shared" si="11"/>
        <v>17.262604072184295</v>
      </c>
    </row>
    <row r="91" spans="1:18" x14ac:dyDescent="0.35">
      <c r="A91">
        <v>58</v>
      </c>
      <c r="B91">
        <v>30</v>
      </c>
      <c r="C91" s="45">
        <f t="shared" si="12"/>
        <v>-135.1457218559853</v>
      </c>
      <c r="D91" s="45">
        <f t="shared" si="13"/>
        <v>30</v>
      </c>
      <c r="E91" s="45">
        <f t="shared" si="9"/>
        <v>-2.338850607584904</v>
      </c>
      <c r="F91" s="45">
        <f t="shared" si="13"/>
        <v>30</v>
      </c>
      <c r="G91" s="45">
        <f t="shared" si="14"/>
        <v>-15.456601827420716</v>
      </c>
      <c r="H91" s="45">
        <f t="shared" si="13"/>
        <v>30</v>
      </c>
      <c r="K91">
        <v>58</v>
      </c>
      <c r="L91">
        <v>30</v>
      </c>
      <c r="M91" s="45">
        <f>MAX(alpha*M90+(1+alpha)/2*(L91-L90),0)</f>
        <v>0</v>
      </c>
      <c r="N91" s="45">
        <f t="shared" si="15"/>
        <v>30</v>
      </c>
      <c r="O91" s="45">
        <f>MAX(alpha*O92+(1+alpha)/2*(N91-N92),0)</f>
        <v>13.068771354913984</v>
      </c>
      <c r="P91" s="45">
        <f t="shared" si="10"/>
        <v>16.931228645086016</v>
      </c>
      <c r="Q91" s="45">
        <f>MAX(alpha*Q90+(1+alpha)/2*(P91-P90),0)</f>
        <v>0</v>
      </c>
      <c r="R91" s="45">
        <f t="shared" si="11"/>
        <v>16.931228645086016</v>
      </c>
    </row>
    <row r="92" spans="1:18" x14ac:dyDescent="0.35">
      <c r="A92">
        <v>59</v>
      </c>
      <c r="B92">
        <v>26</v>
      </c>
      <c r="C92" s="45">
        <f t="shared" si="12"/>
        <v>-136.40280741886559</v>
      </c>
      <c r="D92" s="45">
        <f t="shared" si="13"/>
        <v>26</v>
      </c>
      <c r="E92" s="45">
        <f t="shared" si="9"/>
        <v>-6.4273985791682691</v>
      </c>
      <c r="F92" s="45">
        <f t="shared" si="13"/>
        <v>26</v>
      </c>
      <c r="G92" s="45">
        <f t="shared" si="14"/>
        <v>-19.107469790872301</v>
      </c>
      <c r="H92" s="45">
        <f t="shared" si="13"/>
        <v>26</v>
      </c>
      <c r="K92">
        <v>59</v>
      </c>
      <c r="L92">
        <v>26</v>
      </c>
      <c r="M92" s="45">
        <f>MAX(alpha*M91+(1+alpha)/2*(L92-L91),0)</f>
        <v>0</v>
      </c>
      <c r="N92" s="45">
        <f t="shared" si="15"/>
        <v>26</v>
      </c>
      <c r="O92" s="45">
        <f>MAX(alpha*O93+(1+alpha)/2*(N92-N93),0)</f>
        <v>9.2946646478714143</v>
      </c>
      <c r="P92" s="45">
        <f t="shared" si="10"/>
        <v>16.705335352128586</v>
      </c>
      <c r="Q92" s="45">
        <f>MAX(alpha*Q91+(1+alpha)/2*(P92-P91),0)</f>
        <v>0</v>
      </c>
      <c r="R92" s="45">
        <f t="shared" si="11"/>
        <v>16.705335352128586</v>
      </c>
    </row>
    <row r="93" spans="1:18" x14ac:dyDescent="0.35">
      <c r="A93">
        <v>60</v>
      </c>
      <c r="B93">
        <v>24</v>
      </c>
      <c r="C93" s="45">
        <f t="shared" si="12"/>
        <v>-135.65475127048828</v>
      </c>
      <c r="D93" s="45">
        <f t="shared" si="13"/>
        <v>24</v>
      </c>
      <c r="E93" s="45">
        <f t="shared" si="9"/>
        <v>-8.5789781420084381</v>
      </c>
      <c r="F93" s="45">
        <f t="shared" si="13"/>
        <v>24</v>
      </c>
      <c r="G93" s="45">
        <f t="shared" si="14"/>
        <v>-20.705320395054855</v>
      </c>
      <c r="H93" s="45">
        <f t="shared" si="13"/>
        <v>24</v>
      </c>
      <c r="K93">
        <v>60</v>
      </c>
      <c r="L93">
        <v>24</v>
      </c>
      <c r="M93" s="45">
        <f>MAX(alpha*M92+(1+alpha)/2*(L93-L92),0)</f>
        <v>0</v>
      </c>
      <c r="N93" s="45">
        <f t="shared" si="15"/>
        <v>24</v>
      </c>
      <c r="O93" s="45">
        <f>MAX(alpha*O94+(1+alpha)/2*(N93-N94),0)</f>
        <v>7.463943518236138</v>
      </c>
      <c r="P93" s="45">
        <f t="shared" si="10"/>
        <v>16.536056481763861</v>
      </c>
      <c r="Q93" s="45">
        <f>MAX(alpha*Q92+(1+alpha)/2*(P93-P92),0)</f>
        <v>0</v>
      </c>
      <c r="R93" s="45">
        <f t="shared" si="11"/>
        <v>16.536056481763861</v>
      </c>
    </row>
    <row r="94" spans="1:18" x14ac:dyDescent="0.35">
      <c r="A94">
        <v>61</v>
      </c>
      <c r="B94">
        <v>24</v>
      </c>
      <c r="C94" s="45">
        <f t="shared" si="12"/>
        <v>-132.94165624507852</v>
      </c>
      <c r="D94" s="45">
        <f t="shared" si="13"/>
        <v>24</v>
      </c>
      <c r="E94" s="45">
        <f t="shared" si="9"/>
        <v>-8.7540593285800394</v>
      </c>
      <c r="F94" s="45">
        <f t="shared" si="13"/>
        <v>24</v>
      </c>
      <c r="G94" s="45">
        <f t="shared" si="14"/>
        <v>-20.291213987153757</v>
      </c>
      <c r="H94" s="45">
        <f t="shared" si="13"/>
        <v>24</v>
      </c>
      <c r="K94">
        <v>61</v>
      </c>
      <c r="L94">
        <v>24</v>
      </c>
      <c r="M94" s="45">
        <f>MAX(alpha*M93+(1+alpha)/2*(L94-L93),0)</f>
        <v>0</v>
      </c>
      <c r="N94" s="45">
        <f t="shared" si="15"/>
        <v>24</v>
      </c>
      <c r="O94" s="45">
        <f>MAX(alpha*O95+(1+alpha)/2*(N94-N95),0)</f>
        <v>7.6162688961593243</v>
      </c>
      <c r="P94" s="45">
        <f t="shared" si="10"/>
        <v>16.383731103840674</v>
      </c>
      <c r="Q94" s="45">
        <f>MAX(alpha*Q93+(1+alpha)/2*(P94-P93),0)</f>
        <v>0</v>
      </c>
      <c r="R94" s="45">
        <f t="shared" si="11"/>
        <v>16.383731103840674</v>
      </c>
    </row>
    <row r="95" spans="1:18" x14ac:dyDescent="0.35">
      <c r="A95">
        <v>62</v>
      </c>
      <c r="B95">
        <v>22</v>
      </c>
      <c r="C95" s="45">
        <f t="shared" si="12"/>
        <v>-132.26282312017693</v>
      </c>
      <c r="D95" s="45">
        <f t="shared" si="13"/>
        <v>22</v>
      </c>
      <c r="E95" s="45">
        <f t="shared" si="9"/>
        <v>-10.953121763857183</v>
      </c>
      <c r="F95" s="45">
        <f t="shared" si="13"/>
        <v>22</v>
      </c>
      <c r="G95" s="45">
        <f t="shared" si="14"/>
        <v>-21.865389707410682</v>
      </c>
      <c r="H95" s="45">
        <f t="shared" si="13"/>
        <v>22</v>
      </c>
      <c r="K95">
        <v>62</v>
      </c>
      <c r="L95">
        <v>22</v>
      </c>
      <c r="M95" s="45">
        <f>MAX(alpha*M94+(1+alpha)/2*(L95-L94),0)</f>
        <v>0</v>
      </c>
      <c r="N95" s="45">
        <f t="shared" si="15"/>
        <v>22</v>
      </c>
      <c r="O95" s="45">
        <f>MAX(alpha*O96+(1+alpha)/2*(N95-N96),0)</f>
        <v>5.7512947919993103</v>
      </c>
      <c r="P95" s="45">
        <f t="shared" si="10"/>
        <v>16.24870520800069</v>
      </c>
      <c r="Q95" s="45">
        <f>MAX(alpha*Q94+(1+alpha)/2*(P95-P94),0)</f>
        <v>0</v>
      </c>
      <c r="R95" s="45">
        <f t="shared" si="11"/>
        <v>16.24870520800069</v>
      </c>
    </row>
    <row r="96" spans="1:18" x14ac:dyDescent="0.35">
      <c r="A96">
        <v>63</v>
      </c>
      <c r="B96">
        <v>21</v>
      </c>
      <c r="C96" s="45">
        <f t="shared" si="12"/>
        <v>-130.60756665777339</v>
      </c>
      <c r="D96" s="45">
        <f t="shared" si="13"/>
        <v>21</v>
      </c>
      <c r="E96" s="45">
        <f t="shared" si="9"/>
        <v>-12.186858942711412</v>
      </c>
      <c r="F96" s="45">
        <f t="shared" si="13"/>
        <v>21</v>
      </c>
      <c r="G96" s="45">
        <f t="shared" si="14"/>
        <v>-22.418081913262466</v>
      </c>
      <c r="H96" s="45">
        <f t="shared" si="13"/>
        <v>21</v>
      </c>
      <c r="K96">
        <v>63</v>
      </c>
      <c r="L96">
        <v>21</v>
      </c>
      <c r="M96" s="45">
        <f>MAX(alpha*M95+(1+alpha)/2*(L96-L95),0)</f>
        <v>0</v>
      </c>
      <c r="N96" s="45">
        <f t="shared" si="15"/>
        <v>21</v>
      </c>
      <c r="O96" s="45">
        <f>MAX(alpha*O97+(1+alpha)/2*(N96-N97),0)</f>
        <v>4.8584640734686841</v>
      </c>
      <c r="P96" s="45">
        <f t="shared" si="10"/>
        <v>16.141535926531315</v>
      </c>
      <c r="Q96" s="45">
        <f>MAX(alpha*Q95+(1+alpha)/2*(P96-P95),0)</f>
        <v>0</v>
      </c>
      <c r="R96" s="45">
        <f t="shared" si="11"/>
        <v>16.141535926531315</v>
      </c>
    </row>
    <row r="97" spans="1:18" x14ac:dyDescent="0.35">
      <c r="A97">
        <v>64</v>
      </c>
      <c r="B97">
        <v>20</v>
      </c>
      <c r="C97" s="45">
        <f t="shared" si="12"/>
        <v>-128.98541532461792</v>
      </c>
      <c r="D97" s="45">
        <f t="shared" si="13"/>
        <v>20</v>
      </c>
      <c r="E97" s="45">
        <f t="shared" si="9"/>
        <v>-13.445774431338176</v>
      </c>
      <c r="F97" s="45">
        <f t="shared" si="13"/>
        <v>20</v>
      </c>
      <c r="G97" s="45">
        <f t="shared" si="14"/>
        <v>-22.959720274997213</v>
      </c>
      <c r="H97" s="45">
        <f t="shared" si="13"/>
        <v>20</v>
      </c>
      <c r="K97">
        <v>64</v>
      </c>
      <c r="L97">
        <v>20</v>
      </c>
      <c r="M97" s="45">
        <f>MAX(alpha*M96+(1+alpha)/2*(L97-L96),0)</f>
        <v>0</v>
      </c>
      <c r="N97" s="45">
        <f t="shared" si="15"/>
        <v>20</v>
      </c>
      <c r="O97" s="45">
        <f>MAX(alpha*O98+(1+alpha)/2*(N97-N98),0)</f>
        <v>3.9474123198660047</v>
      </c>
      <c r="P97" s="45">
        <f t="shared" si="10"/>
        <v>16.052587680133996</v>
      </c>
      <c r="Q97" s="45">
        <f>MAX(alpha*Q96+(1+alpha)/2*(P97-P96),0)</f>
        <v>0</v>
      </c>
      <c r="R97" s="45">
        <f t="shared" si="11"/>
        <v>16.052587680133996</v>
      </c>
    </row>
    <row r="98" spans="1:18" x14ac:dyDescent="0.35">
      <c r="A98">
        <v>65</v>
      </c>
      <c r="B98">
        <v>19</v>
      </c>
      <c r="C98" s="45">
        <f t="shared" si="12"/>
        <v>-127.39570701812555</v>
      </c>
      <c r="D98" s="45">
        <f t="shared" si="13"/>
        <v>19</v>
      </c>
      <c r="E98" s="45">
        <f t="shared" si="9"/>
        <v>-14.730382072794058</v>
      </c>
      <c r="F98" s="45">
        <f t="shared" si="13"/>
        <v>19</v>
      </c>
      <c r="G98" s="45">
        <f t="shared" si="14"/>
        <v>-23.490525869497269</v>
      </c>
      <c r="H98" s="45">
        <f t="shared" si="13"/>
        <v>19</v>
      </c>
      <c r="K98">
        <v>65</v>
      </c>
      <c r="L98">
        <v>19</v>
      </c>
      <c r="M98" s="45">
        <f>MAX(alpha*M97+(1+alpha)/2*(L98-L97),0)</f>
        <v>0</v>
      </c>
      <c r="N98" s="45">
        <f t="shared" si="15"/>
        <v>19</v>
      </c>
      <c r="O98" s="45">
        <f>MAX(alpha*O99+(1+alpha)/2*(N98-N99),0)</f>
        <v>3.0177676733326582</v>
      </c>
      <c r="P98" s="45">
        <f t="shared" si="10"/>
        <v>15.982232326667342</v>
      </c>
      <c r="Q98" s="45">
        <f>MAX(alpha*Q97+(1+alpha)/2*(P98-P97),0)</f>
        <v>0</v>
      </c>
      <c r="R98" s="45">
        <f t="shared" si="11"/>
        <v>15.982232326667342</v>
      </c>
    </row>
    <row r="99" spans="1:18" x14ac:dyDescent="0.35">
      <c r="A99">
        <v>66</v>
      </c>
      <c r="B99">
        <v>18</v>
      </c>
      <c r="C99" s="45">
        <f t="shared" si="12"/>
        <v>-125.83779287776304</v>
      </c>
      <c r="D99" s="45">
        <f t="shared" si="13"/>
        <v>18</v>
      </c>
      <c r="E99" s="45">
        <f t="shared" si="9"/>
        <v>-16.041206196728631</v>
      </c>
      <c r="F99" s="45">
        <f t="shared" si="13"/>
        <v>18</v>
      </c>
      <c r="G99" s="45">
        <f t="shared" si="14"/>
        <v>-24.010715352107322</v>
      </c>
      <c r="H99" s="45">
        <f t="shared" si="13"/>
        <v>18</v>
      </c>
      <c r="K99">
        <v>66</v>
      </c>
      <c r="L99">
        <v>18</v>
      </c>
      <c r="M99" s="45">
        <f>MAX(alpha*M98+(1+alpha)/2*(L99-L98),0)</f>
        <v>0</v>
      </c>
      <c r="N99" s="45">
        <f t="shared" si="15"/>
        <v>18</v>
      </c>
      <c r="O99" s="45">
        <f>MAX(alpha*O100+(1+alpha)/2*(N99-N100),0)</f>
        <v>2.0691506870741412</v>
      </c>
      <c r="P99" s="45">
        <f t="shared" si="10"/>
        <v>15.930849312925858</v>
      </c>
      <c r="Q99" s="45">
        <f>MAX(alpha*Q98+(1+alpha)/2*(P99-P98),0)</f>
        <v>0</v>
      </c>
      <c r="R99" s="45">
        <f t="shared" si="11"/>
        <v>15.930849312925858</v>
      </c>
    </row>
    <row r="100" spans="1:18" x14ac:dyDescent="0.35">
      <c r="A100">
        <v>67</v>
      </c>
      <c r="B100">
        <v>18</v>
      </c>
      <c r="C100" s="45">
        <f t="shared" si="12"/>
        <v>-123.32103702020777</v>
      </c>
      <c r="D100" s="45">
        <f t="shared" si="13"/>
        <v>18</v>
      </c>
      <c r="E100" s="45">
        <f t="shared" ref="E100:E129" si="16">alpha*E101+(1+alpha)/2*(D100-D101)</f>
        <v>-16.368577751763908</v>
      </c>
      <c r="F100" s="45">
        <f t="shared" si="13"/>
        <v>18</v>
      </c>
      <c r="G100" s="45">
        <f t="shared" si="14"/>
        <v>-23.530501045065176</v>
      </c>
      <c r="H100" s="45">
        <f t="shared" si="13"/>
        <v>18</v>
      </c>
      <c r="K100">
        <v>67</v>
      </c>
      <c r="L100">
        <v>18</v>
      </c>
      <c r="M100" s="45">
        <f>MAX(alpha*M99+(1+alpha)/2*(L100-L99),0)</f>
        <v>0</v>
      </c>
      <c r="N100" s="45">
        <f t="shared" si="15"/>
        <v>18</v>
      </c>
      <c r="O100" s="45">
        <f>MAX(alpha*O101+(1+alpha)/2*(N100-N101),0)</f>
        <v>2.1113782521164706</v>
      </c>
      <c r="P100" s="45">
        <f t="shared" si="10"/>
        <v>15.88862174788353</v>
      </c>
      <c r="Q100" s="45">
        <f>MAX(alpha*Q99+(1+alpha)/2*(P100-P99),0)</f>
        <v>0</v>
      </c>
      <c r="R100" s="45">
        <f t="shared" si="11"/>
        <v>15.88862174788353</v>
      </c>
    </row>
    <row r="101" spans="1:18" x14ac:dyDescent="0.35">
      <c r="A101">
        <v>66</v>
      </c>
      <c r="B101">
        <v>18</v>
      </c>
      <c r="C101" s="45">
        <f t="shared" ref="C101:C130" si="17">alpha*C100+(1+alpha)/2*(B101-B100)</f>
        <v>-120.85461627980361</v>
      </c>
      <c r="D101" s="45">
        <f t="shared" si="13"/>
        <v>18</v>
      </c>
      <c r="E101" s="45">
        <f t="shared" si="16"/>
        <v>-16.702630358942763</v>
      </c>
      <c r="F101" s="45">
        <f t="shared" si="13"/>
        <v>18</v>
      </c>
      <c r="G101" s="45">
        <f t="shared" ref="G101:G130" si="18">alpha*G100+(1+alpha)/2*(F101-F100)</f>
        <v>-23.059891024163871</v>
      </c>
      <c r="H101" s="45">
        <f t="shared" si="13"/>
        <v>18</v>
      </c>
      <c r="K101">
        <v>66</v>
      </c>
      <c r="L101">
        <v>18</v>
      </c>
      <c r="M101" s="45">
        <f>MAX(alpha*M100+(1+alpha)/2*(L101-L100),0)</f>
        <v>0</v>
      </c>
      <c r="N101" s="45">
        <f t="shared" si="15"/>
        <v>18</v>
      </c>
      <c r="O101" s="45">
        <f>MAX(alpha*O102+(1+alpha)/2*(N101-N102),0)</f>
        <v>2.1544676042004802</v>
      </c>
      <c r="P101" s="45">
        <f t="shared" si="10"/>
        <v>15.84553239579952</v>
      </c>
      <c r="Q101" s="45">
        <f>MAX(alpha*Q100+(1+alpha)/2*(P101-P100),0)</f>
        <v>0</v>
      </c>
      <c r="R101" s="45">
        <f t="shared" si="11"/>
        <v>15.84553239579952</v>
      </c>
    </row>
    <row r="102" spans="1:18" x14ac:dyDescent="0.35">
      <c r="A102">
        <v>65</v>
      </c>
      <c r="B102">
        <v>19</v>
      </c>
      <c r="C102" s="45">
        <f t="shared" si="17"/>
        <v>-117.44752395420754</v>
      </c>
      <c r="D102" s="45">
        <f t="shared" si="13"/>
        <v>19</v>
      </c>
      <c r="E102" s="45">
        <f t="shared" si="16"/>
        <v>-16.033296284635473</v>
      </c>
      <c r="F102" s="45">
        <f t="shared" si="13"/>
        <v>19</v>
      </c>
      <c r="G102" s="45">
        <f t="shared" si="18"/>
        <v>-21.608693203680595</v>
      </c>
      <c r="H102" s="45">
        <f t="shared" si="13"/>
        <v>19</v>
      </c>
      <c r="K102">
        <v>65</v>
      </c>
      <c r="L102">
        <v>19</v>
      </c>
      <c r="M102" s="45">
        <f>MAX(alpha*M101+(1+alpha)/2*(L102-L101),0)</f>
        <v>0.99</v>
      </c>
      <c r="N102" s="45">
        <f t="shared" si="15"/>
        <v>18.010000000000002</v>
      </c>
      <c r="O102" s="45">
        <f>MAX(alpha*O103+(1+alpha)/2*(N102-N103),0)</f>
        <v>2.2085383716331446</v>
      </c>
      <c r="P102" s="45">
        <f t="shared" si="10"/>
        <v>15.801461628366857</v>
      </c>
      <c r="Q102" s="45">
        <f>MAX(alpha*Q101+(1+alpha)/2*(P102-P101),0)</f>
        <v>0</v>
      </c>
      <c r="R102" s="45">
        <f t="shared" si="11"/>
        <v>15.801461628366857</v>
      </c>
    </row>
    <row r="103" spans="1:18" x14ac:dyDescent="0.35">
      <c r="A103">
        <v>64</v>
      </c>
      <c r="B103">
        <v>20</v>
      </c>
      <c r="C103" s="45">
        <f t="shared" si="17"/>
        <v>-114.10857347512339</v>
      </c>
      <c r="D103" s="45">
        <f t="shared" si="13"/>
        <v>20</v>
      </c>
      <c r="E103" s="45">
        <f t="shared" si="16"/>
        <v>-15.350302331260686</v>
      </c>
      <c r="F103" s="45">
        <f t="shared" si="13"/>
        <v>20</v>
      </c>
      <c r="G103" s="45">
        <f t="shared" si="18"/>
        <v>-20.186519339606985</v>
      </c>
      <c r="H103" s="45">
        <f t="shared" si="13"/>
        <v>20</v>
      </c>
      <c r="K103">
        <v>64</v>
      </c>
      <c r="L103">
        <v>20</v>
      </c>
      <c r="M103" s="45">
        <f>MAX(alpha*M102+(1+alpha)/2*(L103-L102),0)</f>
        <v>1.9601999999999999</v>
      </c>
      <c r="N103" s="45">
        <f t="shared" si="15"/>
        <v>18.0398</v>
      </c>
      <c r="O103" s="45">
        <f>MAX(alpha*O104+(1+alpha)/2*(N103-N104),0)</f>
        <v>2.2837146649317783</v>
      </c>
      <c r="P103" s="45">
        <f t="shared" si="10"/>
        <v>15.756085335068221</v>
      </c>
      <c r="Q103" s="45">
        <f>MAX(alpha*Q102+(1+alpha)/2*(P103-P102),0)</f>
        <v>0</v>
      </c>
      <c r="R103" s="45">
        <f t="shared" si="11"/>
        <v>15.756085335068221</v>
      </c>
    </row>
    <row r="104" spans="1:18" x14ac:dyDescent="0.35">
      <c r="A104">
        <v>63</v>
      </c>
      <c r="B104">
        <v>21</v>
      </c>
      <c r="C104" s="45">
        <f t="shared" si="17"/>
        <v>-110.83640200562093</v>
      </c>
      <c r="D104" s="45">
        <f t="shared" si="13"/>
        <v>21</v>
      </c>
      <c r="E104" s="45">
        <f t="shared" si="16"/>
        <v>-14.65336972577621</v>
      </c>
      <c r="F104" s="45">
        <f t="shared" si="13"/>
        <v>21</v>
      </c>
      <c r="G104" s="45">
        <f t="shared" si="18"/>
        <v>-18.792788952814846</v>
      </c>
      <c r="H104" s="45">
        <f t="shared" si="13"/>
        <v>21</v>
      </c>
      <c r="K104">
        <v>63</v>
      </c>
      <c r="L104">
        <v>21</v>
      </c>
      <c r="M104" s="45">
        <f>MAX(alpha*M103+(1+alpha)/2*(L104-L103),0)</f>
        <v>2.9109959999999999</v>
      </c>
      <c r="N104" s="45">
        <f t="shared" si="15"/>
        <v>18.089003999999999</v>
      </c>
      <c r="O104" s="45">
        <f>MAX(alpha*O105+(1+alpha)/2*(N104-N105),0)</f>
        <v>2.3800271682977323</v>
      </c>
      <c r="P104" s="45">
        <f t="shared" si="10"/>
        <v>15.708976831702266</v>
      </c>
      <c r="Q104" s="45">
        <f>MAX(alpha*Q103+(1+alpha)/2*(P104-P103),0)</f>
        <v>0</v>
      </c>
      <c r="R104" s="45">
        <f t="shared" si="11"/>
        <v>15.708976831702266</v>
      </c>
    </row>
    <row r="105" spans="1:18" x14ac:dyDescent="0.35">
      <c r="A105">
        <v>62</v>
      </c>
      <c r="B105">
        <v>22</v>
      </c>
      <c r="C105" s="45">
        <f t="shared" si="17"/>
        <v>-107.62967396550852</v>
      </c>
      <c r="D105" s="45">
        <f t="shared" si="13"/>
        <v>22</v>
      </c>
      <c r="E105" s="45">
        <f t="shared" si="16"/>
        <v>-13.942214005894092</v>
      </c>
      <c r="F105" s="45">
        <f t="shared" si="13"/>
        <v>22</v>
      </c>
      <c r="G105" s="45">
        <f t="shared" si="18"/>
        <v>-17.426933173758549</v>
      </c>
      <c r="H105" s="45">
        <f t="shared" si="13"/>
        <v>22</v>
      </c>
      <c r="K105">
        <v>62</v>
      </c>
      <c r="L105">
        <v>22</v>
      </c>
      <c r="M105" s="45">
        <f>MAX(alpha*M104+(1+alpha)/2*(L105-L104),0)</f>
        <v>3.8427760800000001</v>
      </c>
      <c r="N105" s="45">
        <f t="shared" si="15"/>
        <v>18.15722392</v>
      </c>
      <c r="O105" s="45">
        <f>MAX(alpha*O106+(1+alpha)/2*(N105-N106),0)</f>
        <v>2.4975151929568704</v>
      </c>
      <c r="P105" s="45">
        <f t="shared" si="10"/>
        <v>15.65970872704313</v>
      </c>
      <c r="Q105" s="45">
        <f>MAX(alpha*Q104+(1+alpha)/2*(P105-P104),0)</f>
        <v>0</v>
      </c>
      <c r="R105" s="45">
        <f t="shared" si="11"/>
        <v>15.65970872704313</v>
      </c>
    </row>
    <row r="106" spans="1:18" x14ac:dyDescent="0.35">
      <c r="A106">
        <v>61</v>
      </c>
      <c r="B106">
        <v>24</v>
      </c>
      <c r="C106" s="45">
        <f t="shared" si="17"/>
        <v>-103.49708048619834</v>
      </c>
      <c r="D106" s="45">
        <f t="shared" si="13"/>
        <v>24</v>
      </c>
      <c r="E106" s="45">
        <f t="shared" si="16"/>
        <v>-12.206340822340911</v>
      </c>
      <c r="F106" s="45">
        <f t="shared" si="13"/>
        <v>24</v>
      </c>
      <c r="G106" s="45">
        <f t="shared" si="18"/>
        <v>-15.098394510283377</v>
      </c>
      <c r="H106" s="45">
        <f t="shared" si="13"/>
        <v>24</v>
      </c>
      <c r="K106">
        <v>61</v>
      </c>
      <c r="L106">
        <v>24</v>
      </c>
      <c r="M106" s="45">
        <f>MAX(alpha*M105+(1+alpha)/2*(L106-L105),0)</f>
        <v>5.7459205583999999</v>
      </c>
      <c r="N106" s="45">
        <f t="shared" si="15"/>
        <v>18.254079441599998</v>
      </c>
      <c r="O106" s="45">
        <f>MAX(alpha*O107+(1+alpha)/2*(N106-N107),0)</f>
        <v>2.6463287340212944</v>
      </c>
      <c r="P106" s="45">
        <f t="shared" si="10"/>
        <v>15.607750707578704</v>
      </c>
      <c r="Q106" s="45">
        <f>MAX(alpha*Q105+(1+alpha)/2*(P106-P105),0)</f>
        <v>0</v>
      </c>
      <c r="R106" s="45">
        <f t="shared" si="11"/>
        <v>15.607750707578704</v>
      </c>
    </row>
    <row r="107" spans="1:18" x14ac:dyDescent="0.35">
      <c r="A107">
        <v>60</v>
      </c>
      <c r="B107">
        <v>24</v>
      </c>
      <c r="C107" s="45">
        <f t="shared" si="17"/>
        <v>-101.42713887647437</v>
      </c>
      <c r="D107" s="45">
        <f t="shared" si="13"/>
        <v>24</v>
      </c>
      <c r="E107" s="45">
        <f t="shared" si="16"/>
        <v>-12.455449818715216</v>
      </c>
      <c r="F107" s="45">
        <f t="shared" si="13"/>
        <v>24</v>
      </c>
      <c r="G107" s="45">
        <f t="shared" si="18"/>
        <v>-14.796426620077709</v>
      </c>
      <c r="H107" s="45">
        <f t="shared" si="13"/>
        <v>24</v>
      </c>
      <c r="K107">
        <v>60</v>
      </c>
      <c r="L107">
        <v>24</v>
      </c>
      <c r="M107" s="45">
        <f>MAX(alpha*M106+(1+alpha)/2*(L107-L106),0)</f>
        <v>5.6310021472319995</v>
      </c>
      <c r="N107" s="45">
        <f t="shared" si="15"/>
        <v>18.368997852768</v>
      </c>
      <c r="O107" s="45">
        <f>MAX(alpha*O108+(1+alpha)/2*(N107-N108),0)</f>
        <v>2.8164264908955272</v>
      </c>
      <c r="P107" s="45">
        <f t="shared" si="10"/>
        <v>15.552571361872474</v>
      </c>
      <c r="Q107" s="45">
        <f>MAX(alpha*Q106+(1+alpha)/2*(P107-P106),0)</f>
        <v>0</v>
      </c>
      <c r="R107" s="45">
        <f t="shared" si="11"/>
        <v>15.552571361872474</v>
      </c>
    </row>
    <row r="108" spans="1:18" x14ac:dyDescent="0.35">
      <c r="A108">
        <v>59</v>
      </c>
      <c r="B108">
        <v>26</v>
      </c>
      <c r="C108" s="45">
        <f t="shared" si="17"/>
        <v>-97.418596098944874</v>
      </c>
      <c r="D108" s="45">
        <f t="shared" si="13"/>
        <v>26</v>
      </c>
      <c r="E108" s="45">
        <f t="shared" si="16"/>
        <v>-10.689234508893078</v>
      </c>
      <c r="F108" s="45">
        <f t="shared" si="13"/>
        <v>26</v>
      </c>
      <c r="G108" s="45">
        <f t="shared" si="18"/>
        <v>-12.520498087676154</v>
      </c>
      <c r="H108" s="45">
        <f t="shared" si="13"/>
        <v>26</v>
      </c>
      <c r="K108">
        <v>59</v>
      </c>
      <c r="L108">
        <v>26</v>
      </c>
      <c r="M108" s="45">
        <f>MAX(alpha*M107+(1+alpha)/2*(L108-L107),0)</f>
        <v>7.4983821042873586</v>
      </c>
      <c r="N108" s="45">
        <f t="shared" si="15"/>
        <v>18.501617895712641</v>
      </c>
      <c r="O108" s="45">
        <f>MAX(alpha*O109+(1+alpha)/2*(N108-N109),0)</f>
        <v>3.0078778912354305</v>
      </c>
      <c r="P108" s="45">
        <f t="shared" si="10"/>
        <v>15.49374000447721</v>
      </c>
      <c r="Q108" s="45">
        <f>MAX(alpha*Q107+(1+alpha)/2*(P108-P107),0)</f>
        <v>0</v>
      </c>
      <c r="R108" s="45">
        <f t="shared" si="11"/>
        <v>15.49374000447721</v>
      </c>
    </row>
    <row r="109" spans="1:18" x14ac:dyDescent="0.35">
      <c r="A109">
        <v>58</v>
      </c>
      <c r="B109">
        <v>30</v>
      </c>
      <c r="C109" s="45">
        <f t="shared" si="17"/>
        <v>-91.510224176965977</v>
      </c>
      <c r="D109" s="45">
        <f t="shared" si="13"/>
        <v>30</v>
      </c>
      <c r="E109" s="45">
        <f t="shared" si="16"/>
        <v>-6.8665658254010999</v>
      </c>
      <c r="F109" s="45">
        <f t="shared" si="13"/>
        <v>30</v>
      </c>
      <c r="G109" s="45">
        <f t="shared" si="18"/>
        <v>-8.3100881259226327</v>
      </c>
      <c r="H109" s="45">
        <f t="shared" si="13"/>
        <v>30</v>
      </c>
      <c r="K109">
        <v>58</v>
      </c>
      <c r="L109">
        <v>30</v>
      </c>
      <c r="M109" s="45">
        <f>MAX(alpha*M108+(1+alpha)/2*(L109-L108),0)</f>
        <v>11.308414462201611</v>
      </c>
      <c r="N109" s="45">
        <f t="shared" si="15"/>
        <v>18.691585537798389</v>
      </c>
      <c r="O109" s="45">
        <f>MAX(alpha*O110+(1+alpha)/2*(N109-N110),0)</f>
        <v>3.2611692417350211</v>
      </c>
      <c r="P109" s="45">
        <f t="shared" si="10"/>
        <v>15.430416296063367</v>
      </c>
      <c r="Q109" s="45">
        <f>MAX(alpha*Q108+(1+alpha)/2*(P109-P108),0)</f>
        <v>0</v>
      </c>
      <c r="R109" s="45">
        <f t="shared" si="11"/>
        <v>15.430416296063367</v>
      </c>
    </row>
    <row r="110" spans="1:18" x14ac:dyDescent="0.35">
      <c r="A110">
        <v>57</v>
      </c>
      <c r="B110">
        <v>37</v>
      </c>
      <c r="C110" s="45">
        <f t="shared" si="17"/>
        <v>-82.750019693426651</v>
      </c>
      <c r="D110" s="45">
        <f t="shared" si="13"/>
        <v>37</v>
      </c>
      <c r="E110" s="45">
        <f t="shared" si="16"/>
        <v>6.4728749590713619E-2</v>
      </c>
      <c r="F110" s="45">
        <f t="shared" si="13"/>
        <v>36.935271250409286</v>
      </c>
      <c r="G110" s="45">
        <f t="shared" si="18"/>
        <v>-1.2779678254989868</v>
      </c>
      <c r="H110" s="45">
        <f t="shared" si="13"/>
        <v>36.935271250409286</v>
      </c>
      <c r="K110">
        <v>57</v>
      </c>
      <c r="L110">
        <v>37</v>
      </c>
      <c r="M110" s="45">
        <f>MAX(alpha*M109+(1+alpha)/2*(L110-L109),0)</f>
        <v>18.012246172957578</v>
      </c>
      <c r="N110" s="45">
        <f t="shared" si="15"/>
        <v>18.987753827042422</v>
      </c>
      <c r="O110" s="45">
        <f>MAX(alpha*O111+(1+alpha)/2*(N110-N111),0)</f>
        <v>3.6269141307006261</v>
      </c>
      <c r="P110" s="45">
        <f t="shared" si="10"/>
        <v>15.360839696341795</v>
      </c>
      <c r="Q110" s="45">
        <f>MAX(alpha*Q109+(1+alpha)/2*(P110-P109),0)</f>
        <v>0</v>
      </c>
      <c r="R110" s="45">
        <f t="shared" si="11"/>
        <v>15.360839696341795</v>
      </c>
    </row>
    <row r="111" spans="1:18" x14ac:dyDescent="0.35">
      <c r="A111">
        <v>56</v>
      </c>
      <c r="B111">
        <v>47</v>
      </c>
      <c r="C111" s="45">
        <f t="shared" si="17"/>
        <v>-71.195019299558112</v>
      </c>
      <c r="D111" s="45">
        <f t="shared" si="13"/>
        <v>47</v>
      </c>
      <c r="E111" s="45">
        <f t="shared" si="16"/>
        <v>10.168090560806851</v>
      </c>
      <c r="F111" s="45">
        <f t="shared" si="13"/>
        <v>36.831909439193147</v>
      </c>
      <c r="G111" s="45">
        <f t="shared" si="18"/>
        <v>-1.3547366620929848</v>
      </c>
      <c r="H111" s="45">
        <f t="shared" si="13"/>
        <v>36.831909439193147</v>
      </c>
      <c r="K111">
        <v>56</v>
      </c>
      <c r="L111">
        <v>47</v>
      </c>
      <c r="M111" s="45">
        <f>MAX(alpha*M110+(1+alpha)/2*(L111-L110),0)</f>
        <v>27.552001249498424</v>
      </c>
      <c r="N111" s="45">
        <f t="shared" si="15"/>
        <v>19.447998750501576</v>
      </c>
      <c r="O111" s="45">
        <f>MAX(alpha*O112+(1+alpha)/2*(N111-N112),0)</f>
        <v>4.1658740866583557</v>
      </c>
      <c r="P111" s="45">
        <f t="shared" si="10"/>
        <v>15.28212466384322</v>
      </c>
      <c r="Q111" s="45">
        <f>MAX(alpha*Q110+(1+alpha)/2*(P111-P110),0)</f>
        <v>0</v>
      </c>
      <c r="R111" s="45">
        <f t="shared" si="11"/>
        <v>15.28212466384322</v>
      </c>
    </row>
    <row r="112" spans="1:18" x14ac:dyDescent="0.35">
      <c r="A112">
        <v>55</v>
      </c>
      <c r="B112">
        <v>62</v>
      </c>
      <c r="C112" s="45">
        <f t="shared" si="17"/>
        <v>-54.92111891356695</v>
      </c>
      <c r="D112" s="45">
        <f t="shared" si="13"/>
        <v>62</v>
      </c>
      <c r="E112" s="45">
        <f t="shared" si="16"/>
        <v>25.52866383755801</v>
      </c>
      <c r="F112" s="45">
        <f t="shared" si="13"/>
        <v>36.471336162441986</v>
      </c>
      <c r="G112" s="45">
        <f t="shared" si="18"/>
        <v>-1.6846094728347747</v>
      </c>
      <c r="H112" s="45">
        <f t="shared" si="13"/>
        <v>36.471336162441986</v>
      </c>
      <c r="K112">
        <v>55</v>
      </c>
      <c r="L112">
        <v>62</v>
      </c>
      <c r="M112" s="45">
        <f>MAX(alpha*M111+(1+alpha)/2*(L112-L111),0)</f>
        <v>41.850961224508453</v>
      </c>
      <c r="N112" s="45">
        <f t="shared" si="15"/>
        <v>20.149038775491547</v>
      </c>
      <c r="O112" s="45">
        <f>MAX(alpha*O113+(1+alpha)/2*(N112-N113),0)</f>
        <v>4.9590854197943139</v>
      </c>
      <c r="P112" s="45">
        <f t="shared" si="10"/>
        <v>15.189953355697234</v>
      </c>
      <c r="Q112" s="45">
        <f>MAX(alpha*Q111+(1+alpha)/2*(P112-P111),0)</f>
        <v>0</v>
      </c>
      <c r="R112" s="45">
        <f t="shared" si="11"/>
        <v>15.189953355697234</v>
      </c>
    </row>
    <row r="113" spans="1:18" x14ac:dyDescent="0.35">
      <c r="A113">
        <v>54</v>
      </c>
      <c r="B113">
        <v>81</v>
      </c>
      <c r="C113" s="45">
        <f t="shared" si="17"/>
        <v>-35.012696535295618</v>
      </c>
      <c r="D113" s="45">
        <f t="shared" si="13"/>
        <v>81</v>
      </c>
      <c r="E113" s="45">
        <f t="shared" si="16"/>
        <v>45.243534528120421</v>
      </c>
      <c r="F113" s="45">
        <f t="shared" si="13"/>
        <v>35.756465471879579</v>
      </c>
      <c r="G113" s="45">
        <f t="shared" si="18"/>
        <v>-2.3586392670348619</v>
      </c>
      <c r="H113" s="45">
        <f t="shared" si="13"/>
        <v>35.756465471879579</v>
      </c>
      <c r="K113">
        <v>54</v>
      </c>
      <c r="L113">
        <v>81</v>
      </c>
      <c r="M113" s="45">
        <f>MAX(alpha*M112+(1+alpha)/2*(L113-L112),0)</f>
        <v>59.823942000018278</v>
      </c>
      <c r="N113" s="45">
        <f t="shared" si="15"/>
        <v>21.176057999981722</v>
      </c>
      <c r="O113" s="45">
        <f>MAX(alpha*O114+(1+alpha)/2*(N113-N114),0)</f>
        <v>6.0977902571832523</v>
      </c>
      <c r="P113" s="45">
        <f t="shared" si="10"/>
        <v>15.07826774279847</v>
      </c>
      <c r="Q113" s="45">
        <f>MAX(alpha*Q112+(1+alpha)/2*(P113-P112),0)</f>
        <v>0</v>
      </c>
      <c r="R113" s="45">
        <f t="shared" si="11"/>
        <v>15.07826774279847</v>
      </c>
    </row>
    <row r="114" spans="1:18" x14ac:dyDescent="0.35">
      <c r="A114">
        <v>53</v>
      </c>
      <c r="B114">
        <v>94</v>
      </c>
      <c r="C114" s="45">
        <f t="shared" si="17"/>
        <v>-21.442442604589708</v>
      </c>
      <c r="D114" s="45">
        <f t="shared" si="13"/>
        <v>94</v>
      </c>
      <c r="E114" s="45">
        <f t="shared" si="16"/>
        <v>59.299525028694305</v>
      </c>
      <c r="F114" s="45">
        <f t="shared" si="13"/>
        <v>34.700474971305695</v>
      </c>
      <c r="G114" s="45">
        <f t="shared" si="18"/>
        <v>-3.3568970772623103</v>
      </c>
      <c r="H114" s="45">
        <f t="shared" si="13"/>
        <v>34.700474971305695</v>
      </c>
      <c r="K114">
        <v>53</v>
      </c>
      <c r="L114">
        <v>94</v>
      </c>
      <c r="M114" s="45">
        <f>MAX(alpha*M113+(1+alpha)/2*(L114-L113),0)</f>
        <v>71.497463160017915</v>
      </c>
      <c r="N114" s="45">
        <f t="shared" si="15"/>
        <v>22.502536839982085</v>
      </c>
      <c r="O114" s="45">
        <f>MAX(alpha*O115+(1+alpha)/2*(N114-N115),0)</f>
        <v>7.5622492946771542</v>
      </c>
      <c r="P114" s="45">
        <f t="shared" si="10"/>
        <v>14.94028754530493</v>
      </c>
      <c r="Q114" s="45">
        <f>MAX(alpha*Q113+(1+alpha)/2*(P114-P113),0)</f>
        <v>0</v>
      </c>
      <c r="R114" s="45">
        <f t="shared" si="11"/>
        <v>14.94028754530493</v>
      </c>
    </row>
    <row r="115" spans="1:18" x14ac:dyDescent="0.35">
      <c r="A115">
        <v>52</v>
      </c>
      <c r="B115">
        <v>85</v>
      </c>
      <c r="C115" s="45">
        <f t="shared" si="17"/>
        <v>-29.923593752497915</v>
      </c>
      <c r="D115" s="45">
        <f t="shared" si="13"/>
        <v>85</v>
      </c>
      <c r="E115" s="45">
        <f t="shared" si="16"/>
        <v>51.417882682341123</v>
      </c>
      <c r="F115" s="45">
        <f t="shared" si="13"/>
        <v>33.582117317658877</v>
      </c>
      <c r="G115" s="45">
        <f t="shared" si="18"/>
        <v>-4.3969332128274132</v>
      </c>
      <c r="H115" s="45">
        <f t="shared" si="13"/>
        <v>33.582117317658877</v>
      </c>
      <c r="K115">
        <v>52</v>
      </c>
      <c r="L115">
        <v>85</v>
      </c>
      <c r="M115" s="45">
        <f>MAX(alpha*M114+(1+alpha)/2*(L115-L114),0)</f>
        <v>61.157513896817562</v>
      </c>
      <c r="N115" s="45">
        <f t="shared" si="15"/>
        <v>23.842486103182438</v>
      </c>
      <c r="O115" s="45">
        <f>MAX(alpha*O116+(1+alpha)/2*(N115-N116),0)</f>
        <v>9.070203127801534</v>
      </c>
      <c r="P115" s="45">
        <f t="shared" si="10"/>
        <v>14.772282975380904</v>
      </c>
      <c r="Q115" s="45">
        <f>MAX(alpha*Q114+(1+alpha)/2*(P115-P114),0)</f>
        <v>0</v>
      </c>
      <c r="R115" s="45">
        <f t="shared" si="11"/>
        <v>14.772282975380904</v>
      </c>
    </row>
    <row r="116" spans="1:18" x14ac:dyDescent="0.35">
      <c r="A116">
        <v>51</v>
      </c>
      <c r="B116">
        <v>124</v>
      </c>
      <c r="C116" s="45">
        <f t="shared" si="17"/>
        <v>9.284878122552044</v>
      </c>
      <c r="D116" s="45">
        <f t="shared" si="13"/>
        <v>114.71512187744796</v>
      </c>
      <c r="E116" s="45">
        <f t="shared" si="16"/>
        <v>82.485564633688369</v>
      </c>
      <c r="F116" s="45">
        <f t="shared" si="13"/>
        <v>32.229557243759587</v>
      </c>
      <c r="G116" s="45">
        <f t="shared" si="18"/>
        <v>-5.6480290217311619</v>
      </c>
      <c r="H116" s="45">
        <f t="shared" si="13"/>
        <v>32.229557243759587</v>
      </c>
      <c r="K116">
        <v>51</v>
      </c>
      <c r="L116">
        <v>124</v>
      </c>
      <c r="M116" s="45">
        <f>MAX(alpha*M115+(1+alpha)/2*(L116-L115),0)</f>
        <v>98.544363618881206</v>
      </c>
      <c r="N116" s="45">
        <f t="shared" si="15"/>
        <v>25.455636381118794</v>
      </c>
      <c r="O116" s="45">
        <f>MAX(alpha*O117+(1+alpha)/2*(N116-N117),0)</f>
        <v>10.884920309141354</v>
      </c>
      <c r="P116" s="45">
        <f t="shared" si="10"/>
        <v>14.57071607197744</v>
      </c>
      <c r="Q116" s="45">
        <f>MAX(alpha*Q115+(1+alpha)/2*(P116-P115),0)</f>
        <v>0</v>
      </c>
      <c r="R116" s="45">
        <f t="shared" si="11"/>
        <v>14.57071607197744</v>
      </c>
    </row>
    <row r="117" spans="1:18" x14ac:dyDescent="0.35">
      <c r="A117">
        <v>50</v>
      </c>
      <c r="B117">
        <v>163</v>
      </c>
      <c r="C117" s="45">
        <f t="shared" si="17"/>
        <v>47.709180560101004</v>
      </c>
      <c r="D117" s="45">
        <f t="shared" si="13"/>
        <v>115.290819439899</v>
      </c>
      <c r="E117" s="45">
        <f t="shared" si="16"/>
        <v>84.750515531137651</v>
      </c>
      <c r="F117" s="45">
        <f t="shared" si="13"/>
        <v>30.540303908761345</v>
      </c>
      <c r="G117" s="45">
        <f t="shared" si="18"/>
        <v>-7.2074292429447979</v>
      </c>
      <c r="H117" s="45">
        <f t="shared" si="13"/>
        <v>30.540303908761345</v>
      </c>
      <c r="K117">
        <v>50</v>
      </c>
      <c r="L117">
        <v>163</v>
      </c>
      <c r="M117" s="45">
        <f>MAX(alpha*M116+(1+alpha)/2*(L117-L116),0)</f>
        <v>135.1834763465036</v>
      </c>
      <c r="N117" s="45">
        <f t="shared" si="15"/>
        <v>27.816523653496404</v>
      </c>
      <c r="O117" s="45">
        <f>MAX(alpha*O118+(1+alpha)/2*(N117-N118),0)</f>
        <v>13.4920394987706</v>
      </c>
      <c r="P117" s="45">
        <f t="shared" si="10"/>
        <v>14.324484154725804</v>
      </c>
      <c r="Q117" s="45">
        <f>MAX(alpha*Q116+(1+alpha)/2*(P117-P116),0)</f>
        <v>0</v>
      </c>
      <c r="R117" s="45">
        <f t="shared" si="11"/>
        <v>14.324484154725804</v>
      </c>
    </row>
    <row r="118" spans="1:18" x14ac:dyDescent="0.35">
      <c r="A118">
        <v>49</v>
      </c>
      <c r="B118">
        <v>286</v>
      </c>
      <c r="C118" s="45">
        <f t="shared" si="17"/>
        <v>168.52499694889897</v>
      </c>
      <c r="D118" s="45">
        <f t="shared" si="13"/>
        <v>117.47500305110103</v>
      </c>
      <c r="E118" s="45">
        <f t="shared" si="16"/>
        <v>88.686589087987414</v>
      </c>
      <c r="F118" s="45">
        <f t="shared" si="13"/>
        <v>28.788413963113612</v>
      </c>
      <c r="G118" s="45">
        <f t="shared" si="18"/>
        <v>-8.7976517042771576</v>
      </c>
      <c r="H118" s="45">
        <f t="shared" si="13"/>
        <v>28.788413963113612</v>
      </c>
      <c r="K118">
        <v>49</v>
      </c>
      <c r="L118">
        <v>286</v>
      </c>
      <c r="M118" s="45">
        <f>MAX(alpha*M117+(1+alpha)/2*(L118-L117),0)</f>
        <v>254.24980681957351</v>
      </c>
      <c r="N118" s="45">
        <f t="shared" si="15"/>
        <v>31.750193180426493</v>
      </c>
      <c r="O118" s="45">
        <f>MAX(alpha*O119+(1+alpha)/2*(N118-N119),0)</f>
        <v>17.741196255542235</v>
      </c>
      <c r="P118" s="45">
        <f t="shared" si="10"/>
        <v>14.008996924884258</v>
      </c>
      <c r="Q118" s="45">
        <f>MAX(alpha*Q117+(1+alpha)/2*(P118-P117),0)</f>
        <v>0</v>
      </c>
      <c r="R118" s="45">
        <f t="shared" si="11"/>
        <v>14.008996924884258</v>
      </c>
    </row>
    <row r="119" spans="1:18" x14ac:dyDescent="0.35">
      <c r="A119">
        <v>48</v>
      </c>
      <c r="B119">
        <v>498</v>
      </c>
      <c r="C119" s="45">
        <f t="shared" si="17"/>
        <v>375.03449700992098</v>
      </c>
      <c r="D119" s="45">
        <f t="shared" si="13"/>
        <v>122.96550299007902</v>
      </c>
      <c r="E119" s="45">
        <f t="shared" si="16"/>
        <v>96.043044926097579</v>
      </c>
      <c r="F119" s="45">
        <f t="shared" si="13"/>
        <v>26.922458063981438</v>
      </c>
      <c r="G119" s="45">
        <f t="shared" si="18"/>
        <v>-10.468995010332467</v>
      </c>
      <c r="H119" s="45">
        <f t="shared" si="13"/>
        <v>26.922458063981438</v>
      </c>
      <c r="K119">
        <v>48</v>
      </c>
      <c r="L119">
        <v>498</v>
      </c>
      <c r="M119" s="45">
        <f>MAX(alpha*M118+(1+alpha)/2*(L119-L118),0)</f>
        <v>459.04481068318205</v>
      </c>
      <c r="N119" s="45">
        <f t="shared" si="15"/>
        <v>38.95518931681795</v>
      </c>
      <c r="O119" s="45">
        <f>MAX(alpha*O120+(1+alpha)/2*(N119-N120),0)</f>
        <v>25.381777990377323</v>
      </c>
      <c r="P119" s="45">
        <f t="shared" si="10"/>
        <v>13.573411326440628</v>
      </c>
      <c r="Q119" s="45">
        <f>MAX(alpha*Q118+(1+alpha)/2*(P119-P118),0)</f>
        <v>0</v>
      </c>
      <c r="R119" s="45">
        <f t="shared" si="11"/>
        <v>13.573411326440628</v>
      </c>
    </row>
    <row r="120" spans="1:18" x14ac:dyDescent="0.35">
      <c r="A120">
        <v>47</v>
      </c>
      <c r="B120">
        <v>703</v>
      </c>
      <c r="C120" s="45">
        <f t="shared" si="17"/>
        <v>570.48380706972262</v>
      </c>
      <c r="D120" s="45">
        <f t="shared" si="13"/>
        <v>132.51619293027738</v>
      </c>
      <c r="E120" s="45">
        <f t="shared" si="16"/>
        <v>107.65125302744282</v>
      </c>
      <c r="F120" s="45">
        <f t="shared" si="13"/>
        <v>24.864939902834564</v>
      </c>
      <c r="G120" s="45">
        <f t="shared" si="18"/>
        <v>-12.296558089661223</v>
      </c>
      <c r="H120" s="45">
        <f t="shared" si="13"/>
        <v>24.864939902834564</v>
      </c>
      <c r="K120">
        <v>47</v>
      </c>
      <c r="L120">
        <v>703</v>
      </c>
      <c r="M120" s="45">
        <f>MAX(alpha*M119+(1+alpha)/2*(L120-L119),0)</f>
        <v>652.81391446951841</v>
      </c>
      <c r="N120" s="45">
        <f t="shared" si="15"/>
        <v>50.186085530481591</v>
      </c>
      <c r="O120" s="45">
        <f>MAX(alpha*O121+(1+alpha)/2*(N120-N121),0)</f>
        <v>37.245270655004418</v>
      </c>
      <c r="P120" s="45">
        <f t="shared" si="10"/>
        <v>12.940814875477173</v>
      </c>
      <c r="Q120" s="45">
        <f>MAX(alpha*Q119+(1+alpha)/2*(P120-P119),0)</f>
        <v>0</v>
      </c>
      <c r="R120" s="45">
        <f t="shared" si="11"/>
        <v>12.940814875477173</v>
      </c>
    </row>
    <row r="121" spans="1:18" x14ac:dyDescent="0.35">
      <c r="A121">
        <v>46</v>
      </c>
      <c r="B121">
        <v>247</v>
      </c>
      <c r="C121" s="45">
        <f t="shared" si="17"/>
        <v>107.63413092832815</v>
      </c>
      <c r="D121" s="45">
        <f t="shared" si="13"/>
        <v>139.36586907167185</v>
      </c>
      <c r="E121" s="45">
        <f t="shared" si="16"/>
        <v>116.76778817084015</v>
      </c>
      <c r="F121" s="45">
        <f t="shared" si="13"/>
        <v>22.598080900831704</v>
      </c>
      <c r="G121" s="45">
        <f t="shared" si="18"/>
        <v>-14.29481733985083</v>
      </c>
      <c r="H121" s="45">
        <f t="shared" si="13"/>
        <v>22.598080900831704</v>
      </c>
      <c r="K121">
        <v>46</v>
      </c>
      <c r="L121">
        <v>247</v>
      </c>
      <c r="M121" s="45">
        <f>MAX(alpha*M120+(1+alpha)/2*(L121-L120),0)</f>
        <v>188.31763618012798</v>
      </c>
      <c r="N121" s="45">
        <f t="shared" si="15"/>
        <v>58.682363819872023</v>
      </c>
      <c r="O121" s="45">
        <f>MAX(alpha*O122+(1+alpha)/2*(N121-N122),0)</f>
        <v>46.588353226021376</v>
      </c>
      <c r="P121" s="45">
        <f t="shared" si="10"/>
        <v>12.094010593850648</v>
      </c>
      <c r="Q121" s="45">
        <f>MAX(alpha*Q120+(1+alpha)/2*(P121-P120),0)</f>
        <v>0</v>
      </c>
      <c r="R121" s="45">
        <f t="shared" si="11"/>
        <v>12.094010593850648</v>
      </c>
    </row>
    <row r="122" spans="1:18" x14ac:dyDescent="0.35">
      <c r="A122">
        <v>45</v>
      </c>
      <c r="B122">
        <v>153</v>
      </c>
      <c r="C122" s="45">
        <f t="shared" si="17"/>
        <v>12.421448309761587</v>
      </c>
      <c r="D122" s="45">
        <f t="shared" si="13"/>
        <v>140.57855169023841</v>
      </c>
      <c r="E122" s="45">
        <f t="shared" si="16"/>
        <v>120.37586118696025</v>
      </c>
      <c r="F122" s="45">
        <f t="shared" si="13"/>
        <v>20.202690503278163</v>
      </c>
      <c r="G122" s="45">
        <f t="shared" si="18"/>
        <v>-16.380357486631819</v>
      </c>
      <c r="H122" s="45">
        <f t="shared" si="13"/>
        <v>20.202690503278163</v>
      </c>
      <c r="K122">
        <v>45</v>
      </c>
      <c r="L122">
        <v>153</v>
      </c>
      <c r="M122" s="45">
        <f>MAX(alpha*M121+(1+alpha)/2*(L122-L121),0)</f>
        <v>91.491283456525423</v>
      </c>
      <c r="N122" s="45">
        <f t="shared" si="15"/>
        <v>61.508716543474577</v>
      </c>
      <c r="O122" s="45">
        <f>MAX(alpha*O123+(1+alpha)/2*(N122-N123),0)</f>
        <v>50.394329002436635</v>
      </c>
      <c r="P122" s="45">
        <f t="shared" si="10"/>
        <v>11.114387541037942</v>
      </c>
      <c r="Q122" s="45">
        <f>MAX(alpha*Q121+(1+alpha)/2*(P122-P121),0)</f>
        <v>0</v>
      </c>
      <c r="R122" s="45">
        <f t="shared" si="11"/>
        <v>11.114387541037942</v>
      </c>
    </row>
    <row r="123" spans="1:18" x14ac:dyDescent="0.35">
      <c r="A123">
        <v>44</v>
      </c>
      <c r="B123">
        <v>266</v>
      </c>
      <c r="C123" s="45">
        <f t="shared" si="17"/>
        <v>124.04301934356636</v>
      </c>
      <c r="D123" s="45">
        <f t="shared" si="13"/>
        <v>141.95698065643364</v>
      </c>
      <c r="E123" s="45">
        <f t="shared" si="16"/>
        <v>124.22500598315666</v>
      </c>
      <c r="F123" s="45">
        <f t="shared" si="13"/>
        <v>17.73197467327698</v>
      </c>
      <c r="G123" s="45">
        <f t="shared" si="18"/>
        <v>-18.498759008600356</v>
      </c>
      <c r="H123" s="45">
        <f t="shared" si="13"/>
        <v>17.73197467327698</v>
      </c>
      <c r="K123">
        <v>44</v>
      </c>
      <c r="L123">
        <v>266</v>
      </c>
      <c r="M123" s="45">
        <f>MAX(alpha*M122+(1+alpha)/2*(L123-L122),0)</f>
        <v>201.53145778739491</v>
      </c>
      <c r="N123" s="45">
        <f t="shared" si="15"/>
        <v>64.468542212605087</v>
      </c>
      <c r="O123" s="45">
        <f>MAX(alpha*O124+(1+alpha)/2*(N123-N124),0)</f>
        <v>54.412812668240647</v>
      </c>
      <c r="P123" s="45">
        <f t="shared" si="10"/>
        <v>10.055729544364439</v>
      </c>
      <c r="Q123" s="45">
        <f>MAX(alpha*Q122+(1+alpha)/2*(P123-P122),0)</f>
        <v>0</v>
      </c>
      <c r="R123" s="45">
        <f t="shared" si="11"/>
        <v>10.055729544364439</v>
      </c>
    </row>
    <row r="124" spans="1:18" x14ac:dyDescent="0.35">
      <c r="A124">
        <v>43</v>
      </c>
      <c r="B124">
        <v>261</v>
      </c>
      <c r="C124" s="45">
        <f t="shared" si="17"/>
        <v>116.61215895669503</v>
      </c>
      <c r="D124" s="45">
        <f t="shared" si="13"/>
        <v>144.38784104330497</v>
      </c>
      <c r="E124" s="45">
        <f t="shared" si="16"/>
        <v>129.2158752715911</v>
      </c>
      <c r="F124" s="45">
        <f t="shared" si="13"/>
        <v>15.171965771713872</v>
      </c>
      <c r="G124" s="45">
        <f t="shared" si="18"/>
        <v>-20.663192640975822</v>
      </c>
      <c r="H124" s="45">
        <f t="shared" si="13"/>
        <v>15.171965771713872</v>
      </c>
      <c r="K124">
        <v>43</v>
      </c>
      <c r="L124">
        <v>261</v>
      </c>
      <c r="M124" s="45">
        <f>MAX(alpha*M123+(1+alpha)/2*(L124-L123),0)</f>
        <v>192.55082863164702</v>
      </c>
      <c r="N124" s="45">
        <f t="shared" si="15"/>
        <v>68.449171368352978</v>
      </c>
      <c r="O124" s="45">
        <f>MAX(alpha*O125+(1+alpha)/2*(N124-N125),0)</f>
        <v>59.54452605350108</v>
      </c>
      <c r="P124" s="45">
        <f t="shared" si="10"/>
        <v>8.9046453148518978</v>
      </c>
      <c r="Q124" s="45">
        <f>MAX(alpha*Q123+(1+alpha)/2*(P124-P123),0)</f>
        <v>0</v>
      </c>
      <c r="R124" s="45">
        <f t="shared" si="11"/>
        <v>8.9046453148518978</v>
      </c>
    </row>
    <row r="125" spans="1:18" x14ac:dyDescent="0.35">
      <c r="A125">
        <v>42</v>
      </c>
      <c r="B125">
        <v>294</v>
      </c>
      <c r="C125" s="45">
        <f t="shared" si="17"/>
        <v>146.94991577756113</v>
      </c>
      <c r="D125" s="45">
        <f t="shared" si="13"/>
        <v>147.05008422243887</v>
      </c>
      <c r="E125" s="45">
        <f t="shared" si="16"/>
        <v>134.54234287646293</v>
      </c>
      <c r="F125" s="45">
        <f t="shared" si="13"/>
        <v>12.507741345975944</v>
      </c>
      <c r="G125" s="45">
        <f t="shared" si="18"/>
        <v>-22.887510969636857</v>
      </c>
      <c r="H125" s="45">
        <f t="shared" si="13"/>
        <v>12.507741345975944</v>
      </c>
      <c r="K125">
        <v>42</v>
      </c>
      <c r="L125">
        <v>294</v>
      </c>
      <c r="M125" s="45">
        <f>MAX(alpha*M124+(1+alpha)/2*(L125-L124),0)</f>
        <v>221.36981205901407</v>
      </c>
      <c r="N125" s="45">
        <f t="shared" si="15"/>
        <v>72.630187940985934</v>
      </c>
      <c r="O125" s="45">
        <f>MAX(alpha*O126+(1+alpha)/2*(N125-N126),0)</f>
        <v>64.983400469803783</v>
      </c>
      <c r="P125" s="45">
        <f t="shared" si="10"/>
        <v>7.6467874711821509</v>
      </c>
      <c r="Q125" s="45">
        <f>MAX(alpha*Q124+(1+alpha)/2*(P125-P124),0)</f>
        <v>0</v>
      </c>
      <c r="R125" s="45">
        <f t="shared" si="11"/>
        <v>7.6467874711821509</v>
      </c>
    </row>
    <row r="126" spans="1:18" x14ac:dyDescent="0.35">
      <c r="A126">
        <v>41</v>
      </c>
      <c r="B126">
        <v>330</v>
      </c>
      <c r="C126" s="45">
        <f t="shared" si="17"/>
        <v>179.65091746200989</v>
      </c>
      <c r="D126" s="45">
        <f t="shared" si="13"/>
        <v>150.34908253799011</v>
      </c>
      <c r="E126" s="45">
        <f t="shared" si="16"/>
        <v>140.6207665396517</v>
      </c>
      <c r="F126" s="45">
        <f t="shared" si="13"/>
        <v>9.7283159983384166</v>
      </c>
      <c r="G126" s="45">
        <f t="shared" si="18"/>
        <v>-25.181391844405272</v>
      </c>
      <c r="H126" s="45">
        <f t="shared" si="13"/>
        <v>9.7283159983384166</v>
      </c>
      <c r="K126">
        <v>41</v>
      </c>
      <c r="L126">
        <v>330</v>
      </c>
      <c r="M126" s="45">
        <f>MAX(alpha*M125+(1+alpha)/2*(L126-L125),0)</f>
        <v>252.58241581783381</v>
      </c>
      <c r="N126" s="45">
        <f t="shared" si="15"/>
        <v>77.417584182166195</v>
      </c>
      <c r="O126" s="45">
        <f>MAX(alpha*O127+(1+alpha)/2*(N126-N127),0)</f>
        <v>71.145839539359429</v>
      </c>
      <c r="P126" s="45">
        <f t="shared" si="10"/>
        <v>6.271744642806766</v>
      </c>
      <c r="Q126" s="45">
        <f>MAX(alpha*Q125+(1+alpha)/2*(P126-P125),0)</f>
        <v>0</v>
      </c>
      <c r="R126" s="45">
        <f t="shared" si="11"/>
        <v>6.271744642806766</v>
      </c>
    </row>
    <row r="127" spans="1:18" x14ac:dyDescent="0.35">
      <c r="A127">
        <v>40</v>
      </c>
      <c r="B127">
        <v>82</v>
      </c>
      <c r="C127" s="45">
        <f t="shared" si="17"/>
        <v>-69.462100887230321</v>
      </c>
      <c r="D127" s="45">
        <f t="shared" si="13"/>
        <v>82</v>
      </c>
      <c r="E127" s="45">
        <f t="shared" si="16"/>
        <v>74.444055945960685</v>
      </c>
      <c r="F127" s="45">
        <f t="shared" si="13"/>
        <v>7.5559440540393155</v>
      </c>
      <c r="G127" s="45">
        <f t="shared" si="18"/>
        <v>-26.828412232373275</v>
      </c>
      <c r="H127" s="45">
        <f t="shared" si="13"/>
        <v>7.5559440540393155</v>
      </c>
      <c r="K127">
        <v>40</v>
      </c>
      <c r="L127">
        <v>82</v>
      </c>
      <c r="M127" s="45">
        <f>MAX(alpha*M126+(1+alpha)/2*(L127-L126),0)</f>
        <v>2.0107675014771189</v>
      </c>
      <c r="N127" s="45">
        <f t="shared" si="15"/>
        <v>79.989232498522881</v>
      </c>
      <c r="O127" s="45">
        <f>MAX(alpha*O128+(1+alpha)/2*(N127-N128),0)</f>
        <v>75.195685074033221</v>
      </c>
      <c r="P127" s="45">
        <f t="shared" si="10"/>
        <v>4.7935474244896596</v>
      </c>
      <c r="Q127" s="45">
        <f>MAX(alpha*Q126+(1+alpha)/2*(P127-P126),0)</f>
        <v>0</v>
      </c>
      <c r="R127" s="45">
        <f t="shared" si="11"/>
        <v>4.7935474244896596</v>
      </c>
    </row>
    <row r="128" spans="1:18" x14ac:dyDescent="0.35">
      <c r="A128">
        <v>39</v>
      </c>
      <c r="B128">
        <v>119</v>
      </c>
      <c r="C128" s="45">
        <f t="shared" si="17"/>
        <v>-31.442858869485711</v>
      </c>
      <c r="D128" s="45">
        <f t="shared" si="13"/>
        <v>119</v>
      </c>
      <c r="E128" s="45">
        <f t="shared" si="16"/>
        <v>113.34087341424561</v>
      </c>
      <c r="F128" s="45">
        <f t="shared" si="13"/>
        <v>5.6591265857543931</v>
      </c>
      <c r="G128" s="45">
        <f t="shared" si="18"/>
        <v>-28.169693281327881</v>
      </c>
      <c r="H128" s="45">
        <f t="shared" si="13"/>
        <v>5.6591265857543931</v>
      </c>
      <c r="K128">
        <v>39</v>
      </c>
      <c r="L128">
        <v>119</v>
      </c>
      <c r="M128" s="45">
        <f>MAX(alpha*M127+(1+alpha)/2*(L128-L127),0)</f>
        <v>38.60055215144758</v>
      </c>
      <c r="N128" s="45">
        <f t="shared" si="15"/>
        <v>80.399447848552427</v>
      </c>
      <c r="O128" s="45">
        <f>MAX(alpha*O129+(1+alpha)/2*(N128-N129),0)</f>
        <v>77.144692112818845</v>
      </c>
      <c r="P128" s="45">
        <f t="shared" si="10"/>
        <v>3.2547557357335819</v>
      </c>
      <c r="Q128" s="45">
        <f>MAX(alpha*Q127+(1+alpha)/2*(P128-P127),0)</f>
        <v>0</v>
      </c>
      <c r="R128" s="45">
        <f t="shared" si="11"/>
        <v>3.2547557357335819</v>
      </c>
    </row>
    <row r="129" spans="1:18" x14ac:dyDescent="0.35">
      <c r="A129">
        <v>38</v>
      </c>
      <c r="B129">
        <v>161</v>
      </c>
      <c r="C129" s="45">
        <f t="shared" si="17"/>
        <v>10.765998307904002</v>
      </c>
      <c r="D129" s="45">
        <f t="shared" si="13"/>
        <v>150.234001692096</v>
      </c>
      <c r="E129" s="45">
        <f t="shared" si="16"/>
        <v>147.2066684585925</v>
      </c>
      <c r="F129" s="45">
        <f t="shared" si="13"/>
        <v>3.0273332335034979</v>
      </c>
      <c r="G129" s="45">
        <f t="shared" si="18"/>
        <v>-30.211774834429708</v>
      </c>
      <c r="H129" s="45">
        <f t="shared" si="13"/>
        <v>3.0273332335034979</v>
      </c>
      <c r="K129">
        <v>38</v>
      </c>
      <c r="L129">
        <v>161</v>
      </c>
      <c r="M129" s="45">
        <f>MAX(alpha*M128+(1+alpha)/2*(L129-L128),0)</f>
        <v>79.408541108418632</v>
      </c>
      <c r="N129" s="45">
        <f t="shared" si="15"/>
        <v>81.591458891581368</v>
      </c>
      <c r="O129" s="45">
        <f>MAX(alpha*O130+(1+alpha)/2*(N129-N130),0)</f>
        <v>79.923248005528052</v>
      </c>
      <c r="P129" s="45">
        <f t="shared" si="10"/>
        <v>1.6682108860533162</v>
      </c>
      <c r="Q129" s="45">
        <f>MAX(alpha*Q128+(1+alpha)/2*(P129-P128),0)</f>
        <v>0</v>
      </c>
      <c r="R129" s="45">
        <f t="shared" si="11"/>
        <v>1.6682108860533162</v>
      </c>
    </row>
    <row r="130" spans="1:18" x14ac:dyDescent="0.35">
      <c r="A130">
        <v>37</v>
      </c>
      <c r="B130">
        <v>366</v>
      </c>
      <c r="C130" s="45">
        <f t="shared" si="17"/>
        <v>213.50067834174592</v>
      </c>
      <c r="D130" s="45">
        <f t="shared" si="13"/>
        <v>152.49932165825408</v>
      </c>
      <c r="E130" s="44">
        <f>D130</f>
        <v>152.49932165825408</v>
      </c>
      <c r="F130" s="45">
        <f t="shared" si="13"/>
        <v>0</v>
      </c>
      <c r="G130" s="45">
        <f t="shared" si="18"/>
        <v>-32.604599238909579</v>
      </c>
      <c r="H130" s="45">
        <f t="shared" si="13"/>
        <v>0</v>
      </c>
      <c r="K130">
        <v>37</v>
      </c>
      <c r="L130">
        <v>366</v>
      </c>
      <c r="M130" s="45">
        <f>MAX(alpha*M129+(1+alpha)/2*(L130-L129),0)</f>
        <v>280.77037028625023</v>
      </c>
      <c r="N130" s="45">
        <f t="shared" si="15"/>
        <v>85.229629713749773</v>
      </c>
      <c r="O130" s="44">
        <f>N130</f>
        <v>85.229629713749773</v>
      </c>
      <c r="P130" s="45">
        <f t="shared" si="10"/>
        <v>0</v>
      </c>
      <c r="Q130" s="45">
        <f>MAX(alpha*Q129+(1+alpha)/2*(P130-P129),0)</f>
        <v>0</v>
      </c>
      <c r="R130" s="45">
        <f t="shared" si="11"/>
        <v>0</v>
      </c>
    </row>
  </sheetData>
  <sortState xmlns:xlrd2="http://schemas.microsoft.com/office/spreadsheetml/2017/richdata2" ref="A101:B130">
    <sortCondition descending="1" ref="A101:A130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ABC0-371A-4C99-8BF1-CA8157A35158}">
  <dimension ref="A1:R138"/>
  <sheetViews>
    <sheetView zoomScale="110" zoomScaleNormal="110" workbookViewId="0">
      <selection activeCell="I1" sqref="I1"/>
    </sheetView>
  </sheetViews>
  <sheetFormatPr defaultColWidth="9.1796875" defaultRowHeight="14.5" x14ac:dyDescent="0.35"/>
  <cols>
    <col min="1" max="3" width="9.1796875" style="5"/>
    <col min="4" max="4" width="12" style="5" customWidth="1"/>
    <col min="5" max="5" width="11.54296875" style="5" bestFit="1" customWidth="1"/>
    <col min="6" max="6" width="15.1796875" style="7" bestFit="1" customWidth="1"/>
    <col min="7" max="7" width="15" style="7" bestFit="1" customWidth="1"/>
    <col min="8" max="8" width="15.54296875" style="7" bestFit="1" customWidth="1"/>
    <col min="9" max="9" width="15" style="7" bestFit="1" customWidth="1"/>
    <col min="10" max="10" width="15.1796875" style="7" bestFit="1" customWidth="1"/>
    <col min="11" max="11" width="20.1796875" style="7" bestFit="1" customWidth="1"/>
    <col min="12" max="13" width="16" style="5" customWidth="1"/>
    <col min="14" max="14" width="31.81640625" style="5" customWidth="1"/>
    <col min="15" max="16384" width="9.1796875" style="5"/>
  </cols>
  <sheetData>
    <row r="1" spans="1:14" ht="21" x14ac:dyDescent="0.5">
      <c r="F1" s="6" t="s">
        <v>9</v>
      </c>
      <c r="I1" s="7" t="s">
        <v>42</v>
      </c>
      <c r="J1" s="42" t="s">
        <v>32</v>
      </c>
    </row>
    <row r="2" spans="1:14" x14ac:dyDescent="0.35">
      <c r="A2" s="8" t="s">
        <v>10</v>
      </c>
      <c r="B2" s="8"/>
      <c r="C2" s="8"/>
      <c r="I2" s="7" t="s">
        <v>41</v>
      </c>
      <c r="J2" s="42" t="s">
        <v>31</v>
      </c>
    </row>
    <row r="3" spans="1:14" x14ac:dyDescent="0.35">
      <c r="F3" s="9" t="s">
        <v>11</v>
      </c>
      <c r="G3" s="7" t="s">
        <v>12</v>
      </c>
      <c r="H3" s="10">
        <v>0.98</v>
      </c>
      <c r="I3" s="5" t="s">
        <v>40</v>
      </c>
      <c r="J3" s="46" t="s">
        <v>39</v>
      </c>
    </row>
    <row r="4" spans="1:14" x14ac:dyDescent="0.35">
      <c r="K4" s="7" t="s">
        <v>13</v>
      </c>
    </row>
    <row r="5" spans="1:14" s="16" customFormat="1" x14ac:dyDescent="0.35">
      <c r="A5" s="11" t="s">
        <v>14</v>
      </c>
      <c r="B5" s="11" t="s">
        <v>14</v>
      </c>
      <c r="C5" s="11" t="s">
        <v>14</v>
      </c>
      <c r="D5" s="12" t="s">
        <v>0</v>
      </c>
      <c r="E5" s="13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  <c r="K5" s="15" t="s">
        <v>21</v>
      </c>
    </row>
    <row r="6" spans="1:14" s="16" customFormat="1" x14ac:dyDescent="0.35">
      <c r="A6" s="11"/>
      <c r="B6" s="11"/>
      <c r="C6" s="11"/>
      <c r="D6" s="11"/>
      <c r="E6" s="17" t="s">
        <v>22</v>
      </c>
      <c r="F6" s="14" t="s">
        <v>23</v>
      </c>
      <c r="G6" s="14" t="s">
        <v>24</v>
      </c>
      <c r="H6" s="14" t="s">
        <v>25</v>
      </c>
      <c r="I6" s="14" t="s">
        <v>26</v>
      </c>
      <c r="J6" s="14" t="s">
        <v>27</v>
      </c>
      <c r="K6" s="15" t="s">
        <v>27</v>
      </c>
      <c r="L6" s="16" t="s">
        <v>28</v>
      </c>
      <c r="M6" s="16" t="s">
        <v>29</v>
      </c>
      <c r="N6" s="18" t="s">
        <v>30</v>
      </c>
    </row>
    <row r="7" spans="1:14" x14ac:dyDescent="0.35">
      <c r="A7" s="11"/>
      <c r="B7" s="11"/>
      <c r="C7" s="11"/>
      <c r="D7" s="11"/>
      <c r="E7" s="17"/>
      <c r="F7" s="14"/>
      <c r="G7" s="14"/>
      <c r="H7" s="14"/>
      <c r="I7" s="14"/>
      <c r="J7" s="14"/>
      <c r="K7" s="15"/>
      <c r="L7" s="19">
        <f>SUM(K39:K105)</f>
        <v>2283.4253230801846</v>
      </c>
      <c r="M7" s="19">
        <f>SUM(E39:E105)</f>
        <v>11616</v>
      </c>
      <c r="N7" s="20">
        <f>L7/M7</f>
        <v>0.19657587147728861</v>
      </c>
    </row>
    <row r="8" spans="1:14" x14ac:dyDescent="0.35">
      <c r="A8" s="21"/>
      <c r="B8" s="21"/>
      <c r="C8" s="21"/>
      <c r="D8" s="21"/>
      <c r="E8" s="22"/>
      <c r="F8" s="23"/>
      <c r="G8" s="23"/>
      <c r="H8" s="23"/>
      <c r="I8" s="23"/>
      <c r="J8" s="23"/>
      <c r="K8" s="24"/>
    </row>
    <row r="9" spans="1:14" x14ac:dyDescent="0.35">
      <c r="A9" s="21">
        <v>31</v>
      </c>
      <c r="B9" s="21">
        <v>31</v>
      </c>
      <c r="C9" s="21">
        <v>1</v>
      </c>
      <c r="D9" s="25"/>
      <c r="E9" s="22">
        <v>96</v>
      </c>
      <c r="F9" s="23">
        <f>E9</f>
        <v>96</v>
      </c>
      <c r="G9" s="23">
        <f t="shared" ref="G9:G73" si="0">IF(F9&gt;0,E9-F9,E9)</f>
        <v>0</v>
      </c>
      <c r="H9" s="23">
        <f>a*H10+(1+a)*(G9-G10)/2</f>
        <v>-63.309173834499823</v>
      </c>
      <c r="I9" s="23">
        <f>IF(H9&gt;0,G9-H9,G9)</f>
        <v>0</v>
      </c>
      <c r="J9" s="26">
        <f>I9</f>
        <v>0</v>
      </c>
      <c r="K9" s="24">
        <f>IF(J9&gt;0,I9-J9,I9)</f>
        <v>0</v>
      </c>
    </row>
    <row r="10" spans="1:14" x14ac:dyDescent="0.35">
      <c r="A10" s="21">
        <v>30</v>
      </c>
      <c r="B10" s="21">
        <v>30</v>
      </c>
      <c r="C10" s="21">
        <v>2</v>
      </c>
      <c r="D10" s="25"/>
      <c r="E10" s="22">
        <v>158</v>
      </c>
      <c r="F10" s="23">
        <f>a*F9+(1+a)*(E10-E9)/2</f>
        <v>155.46</v>
      </c>
      <c r="G10" s="23">
        <f t="shared" si="0"/>
        <v>2.539999999999992</v>
      </c>
      <c r="H10" s="23">
        <f t="shared" ref="H10:H72" si="1">a*H11+(1+a)*(G10-G11)/2</f>
        <v>-62.035279422959007</v>
      </c>
      <c r="I10" s="23">
        <f t="shared" ref="I10:I73" si="2">IF(H10&gt;0,G10-H10,G10)</f>
        <v>2.539999999999992</v>
      </c>
      <c r="J10" s="23">
        <f>a*J9+(1+a)*(I10-I9)/2</f>
        <v>2.5145999999999922</v>
      </c>
      <c r="K10" s="24">
        <f t="shared" ref="K10:K73" si="3">IF(J10&gt;0,I10-J10,I10)</f>
        <v>2.5399999999999867E-2</v>
      </c>
    </row>
    <row r="11" spans="1:14" x14ac:dyDescent="0.35">
      <c r="A11" s="21">
        <v>29</v>
      </c>
      <c r="B11" s="21">
        <v>29</v>
      </c>
      <c r="C11" s="21">
        <v>3</v>
      </c>
      <c r="D11" s="25"/>
      <c r="E11" s="22">
        <v>382</v>
      </c>
      <c r="F11" s="23">
        <f t="shared" ref="F11:F41" si="4">a*F10+(1+a)*(E11-E10)/2</f>
        <v>374.11079999999998</v>
      </c>
      <c r="G11" s="23">
        <f t="shared" si="0"/>
        <v>7.8892000000000166</v>
      </c>
      <c r="H11" s="23">
        <f t="shared" si="1"/>
        <v>-57.897521860162229</v>
      </c>
      <c r="I11" s="23">
        <f t="shared" si="2"/>
        <v>7.8892000000000166</v>
      </c>
      <c r="J11" s="23">
        <f t="shared" ref="J11:J73" si="5">a*J10+(1+a)*(I11-I10)/2</f>
        <v>7.7600160000000162</v>
      </c>
      <c r="K11" s="24">
        <f t="shared" si="3"/>
        <v>0.12918400000000041</v>
      </c>
    </row>
    <row r="12" spans="1:14" x14ac:dyDescent="0.35">
      <c r="A12" s="21">
        <v>28</v>
      </c>
      <c r="B12" s="21">
        <v>28</v>
      </c>
      <c r="C12" s="21">
        <v>4</v>
      </c>
      <c r="D12" s="25"/>
      <c r="E12" s="22">
        <v>934</v>
      </c>
      <c r="F12" s="23">
        <f t="shared" si="4"/>
        <v>913.10858400000006</v>
      </c>
      <c r="G12" s="23">
        <f t="shared" si="0"/>
        <v>20.891415999999936</v>
      </c>
      <c r="H12" s="23">
        <f t="shared" si="1"/>
        <v>-45.944212265471741</v>
      </c>
      <c r="I12" s="23">
        <f t="shared" si="2"/>
        <v>20.891415999999936</v>
      </c>
      <c r="J12" s="23">
        <f t="shared" si="5"/>
        <v>20.477009519999935</v>
      </c>
      <c r="K12" s="24">
        <f t="shared" si="3"/>
        <v>0.41440648000000024</v>
      </c>
    </row>
    <row r="13" spans="1:14" x14ac:dyDescent="0.35">
      <c r="A13" s="21">
        <v>27</v>
      </c>
      <c r="B13" s="21">
        <v>27</v>
      </c>
      <c r="C13" s="21">
        <v>5</v>
      </c>
      <c r="D13" s="25"/>
      <c r="E13" s="22">
        <v>119</v>
      </c>
      <c r="F13" s="23">
        <f t="shared" si="4"/>
        <v>87.99641231999999</v>
      </c>
      <c r="G13" s="23">
        <f t="shared" si="0"/>
        <v>31.00358768000001</v>
      </c>
      <c r="H13" s="23">
        <f t="shared" si="1"/>
        <v>-36.66649214517517</v>
      </c>
      <c r="I13" s="23">
        <f t="shared" si="2"/>
        <v>31.00358768000001</v>
      </c>
      <c r="J13" s="23">
        <f t="shared" si="5"/>
        <v>30.07851929280001</v>
      </c>
      <c r="K13" s="24">
        <f t="shared" si="3"/>
        <v>0.92506838719999962</v>
      </c>
    </row>
    <row r="14" spans="1:14" x14ac:dyDescent="0.35">
      <c r="A14" s="21">
        <v>26</v>
      </c>
      <c r="B14" s="21">
        <v>26</v>
      </c>
      <c r="C14" s="21">
        <v>6</v>
      </c>
      <c r="D14" s="25"/>
      <c r="E14" s="22">
        <v>141</v>
      </c>
      <c r="F14" s="23">
        <f t="shared" si="4"/>
        <v>108.01648407359998</v>
      </c>
      <c r="G14" s="23">
        <f t="shared" si="0"/>
        <v>32.983515926400017</v>
      </c>
      <c r="H14" s="23">
        <f t="shared" si="1"/>
        <v>-35.414656307386899</v>
      </c>
      <c r="I14" s="23">
        <f t="shared" si="2"/>
        <v>32.983515926400017</v>
      </c>
      <c r="J14" s="23">
        <f t="shared" si="5"/>
        <v>31.437077870880017</v>
      </c>
      <c r="K14" s="24">
        <f t="shared" si="3"/>
        <v>1.5464380555199995</v>
      </c>
    </row>
    <row r="15" spans="1:14" x14ac:dyDescent="0.35">
      <c r="A15" s="21">
        <v>25</v>
      </c>
      <c r="B15" s="21">
        <v>25</v>
      </c>
      <c r="C15" s="21">
        <v>7</v>
      </c>
      <c r="D15" s="25"/>
      <c r="E15" s="22">
        <v>256</v>
      </c>
      <c r="F15" s="23">
        <f t="shared" si="4"/>
        <v>219.70615439212798</v>
      </c>
      <c r="G15" s="23">
        <f t="shared" si="0"/>
        <v>36.293845607872015</v>
      </c>
      <c r="H15" s="23">
        <f t="shared" si="1"/>
        <v>-32.793295839520027</v>
      </c>
      <c r="I15" s="23">
        <f t="shared" si="2"/>
        <v>36.293845607872015</v>
      </c>
      <c r="J15" s="23">
        <f t="shared" si="5"/>
        <v>34.085562698119695</v>
      </c>
      <c r="K15" s="24">
        <f t="shared" si="3"/>
        <v>2.2082829097523202</v>
      </c>
    </row>
    <row r="16" spans="1:14" x14ac:dyDescent="0.35">
      <c r="A16" s="21">
        <v>24</v>
      </c>
      <c r="B16" s="21">
        <v>24</v>
      </c>
      <c r="C16" s="21">
        <v>8</v>
      </c>
      <c r="D16" s="25"/>
      <c r="E16" s="22">
        <v>245</v>
      </c>
      <c r="F16" s="23">
        <f t="shared" si="4"/>
        <v>204.42203130428544</v>
      </c>
      <c r="G16" s="23">
        <f t="shared" si="0"/>
        <v>40.57796869571456</v>
      </c>
      <c r="H16" s="23">
        <f t="shared" si="1"/>
        <v>-29.134708145465215</v>
      </c>
      <c r="I16" s="23">
        <f t="shared" si="2"/>
        <v>40.57796869571456</v>
      </c>
      <c r="J16" s="23">
        <f t="shared" si="5"/>
        <v>37.645133301121419</v>
      </c>
      <c r="K16" s="24">
        <f t="shared" si="3"/>
        <v>2.9328353945931411</v>
      </c>
    </row>
    <row r="17" spans="1:11" x14ac:dyDescent="0.35">
      <c r="A17" s="21">
        <v>23</v>
      </c>
      <c r="B17" s="21">
        <v>23</v>
      </c>
      <c r="C17" s="21">
        <v>9</v>
      </c>
      <c r="D17" s="25"/>
      <c r="E17" s="22">
        <v>260</v>
      </c>
      <c r="F17" s="23">
        <f t="shared" si="4"/>
        <v>215.18359067819972</v>
      </c>
      <c r="G17" s="23">
        <f t="shared" si="0"/>
        <v>44.816409321800279</v>
      </c>
      <c r="H17" s="23">
        <f t="shared" si="1"/>
        <v>-25.447604005755462</v>
      </c>
      <c r="I17" s="23">
        <f t="shared" si="2"/>
        <v>44.816409321800279</v>
      </c>
      <c r="J17" s="23">
        <f t="shared" si="5"/>
        <v>41.088286854923851</v>
      </c>
      <c r="K17" s="24">
        <f t="shared" si="3"/>
        <v>3.7281224668764281</v>
      </c>
    </row>
    <row r="18" spans="1:11" x14ac:dyDescent="0.35">
      <c r="A18" s="21">
        <v>22</v>
      </c>
      <c r="B18" s="21">
        <v>22</v>
      </c>
      <c r="C18" s="21">
        <v>10</v>
      </c>
      <c r="D18" s="25"/>
      <c r="E18" s="22">
        <v>275</v>
      </c>
      <c r="F18" s="23">
        <f t="shared" si="4"/>
        <v>225.72991886463572</v>
      </c>
      <c r="G18" s="23">
        <f t="shared" si="0"/>
        <v>49.270081135364279</v>
      </c>
      <c r="H18" s="23">
        <f t="shared" si="1"/>
        <v>-21.467825418701125</v>
      </c>
      <c r="I18" s="23">
        <f t="shared" si="2"/>
        <v>49.270081135364279</v>
      </c>
      <c r="J18" s="23">
        <f t="shared" si="5"/>
        <v>44.675656213253731</v>
      </c>
      <c r="K18" s="24">
        <f t="shared" si="3"/>
        <v>4.594424922110548</v>
      </c>
    </row>
    <row r="19" spans="1:11" x14ac:dyDescent="0.35">
      <c r="A19" s="21">
        <v>21</v>
      </c>
      <c r="B19" s="21">
        <v>21</v>
      </c>
      <c r="C19" s="21">
        <v>11</v>
      </c>
      <c r="D19" s="25"/>
      <c r="E19" s="22">
        <v>310</v>
      </c>
      <c r="F19" s="23">
        <f t="shared" si="4"/>
        <v>255.86532048734301</v>
      </c>
      <c r="G19" s="23">
        <f t="shared" si="0"/>
        <v>54.134679512656987</v>
      </c>
      <c r="H19" s="23">
        <f t="shared" si="1"/>
        <v>-16.991707168552395</v>
      </c>
      <c r="I19" s="23">
        <f t="shared" si="2"/>
        <v>54.134679512656987</v>
      </c>
      <c r="J19" s="23">
        <f t="shared" si="5"/>
        <v>48.598095482508434</v>
      </c>
      <c r="K19" s="24">
        <f t="shared" si="3"/>
        <v>5.5365840301485534</v>
      </c>
    </row>
    <row r="20" spans="1:11" x14ac:dyDescent="0.35">
      <c r="A20" s="21">
        <v>20</v>
      </c>
      <c r="B20" s="21">
        <v>20</v>
      </c>
      <c r="C20" s="21">
        <v>12</v>
      </c>
      <c r="D20" s="25"/>
      <c r="E20" s="22">
        <v>393</v>
      </c>
      <c r="F20" s="23">
        <f t="shared" si="4"/>
        <v>332.91801407759613</v>
      </c>
      <c r="G20" s="23">
        <f t="shared" si="0"/>
        <v>60.081985922403874</v>
      </c>
      <c r="H20" s="23">
        <f t="shared" si="1"/>
        <v>-11.330483492758141</v>
      </c>
      <c r="I20" s="23">
        <f t="shared" si="2"/>
        <v>60.081985922403874</v>
      </c>
      <c r="J20" s="23">
        <f t="shared" si="5"/>
        <v>53.513966918507684</v>
      </c>
      <c r="K20" s="24">
        <f t="shared" si="3"/>
        <v>6.5680190038961896</v>
      </c>
    </row>
    <row r="21" spans="1:11" x14ac:dyDescent="0.35">
      <c r="A21" s="21">
        <v>19</v>
      </c>
      <c r="B21" s="21">
        <v>19</v>
      </c>
      <c r="C21" s="21">
        <v>13</v>
      </c>
      <c r="D21" s="25"/>
      <c r="E21" s="22">
        <v>342</v>
      </c>
      <c r="F21" s="23">
        <f t="shared" si="4"/>
        <v>275.76965379604417</v>
      </c>
      <c r="G21" s="23">
        <f t="shared" si="0"/>
        <v>66.230346203955833</v>
      </c>
      <c r="H21" s="23">
        <f t="shared" si="1"/>
        <v>-5.3506191979813291</v>
      </c>
      <c r="I21" s="23">
        <f t="shared" si="2"/>
        <v>66.230346203955833</v>
      </c>
      <c r="J21" s="23">
        <f t="shared" si="5"/>
        <v>58.530564258873966</v>
      </c>
      <c r="K21" s="24">
        <f>IF(J21&gt;0,I21-J21,I21)</f>
        <v>7.6997819450818668</v>
      </c>
    </row>
    <row r="22" spans="1:11" x14ac:dyDescent="0.35">
      <c r="A22" s="21">
        <v>18</v>
      </c>
      <c r="B22" s="21">
        <v>18</v>
      </c>
      <c r="C22" s="21">
        <v>14</v>
      </c>
      <c r="D22" s="25"/>
      <c r="E22" s="22">
        <v>82</v>
      </c>
      <c r="F22" s="23">
        <f t="shared" si="4"/>
        <v>12.854260720123307</v>
      </c>
      <c r="G22" s="23">
        <f t="shared" si="0"/>
        <v>69.145739279876693</v>
      </c>
      <c r="H22" s="23">
        <f t="shared" si="1"/>
        <v>-2.514673523285385</v>
      </c>
      <c r="I22" s="23">
        <f t="shared" si="2"/>
        <v>69.145739279876693</v>
      </c>
      <c r="J22" s="23">
        <f t="shared" si="5"/>
        <v>60.24619211885814</v>
      </c>
      <c r="K22" s="24">
        <f t="shared" si="3"/>
        <v>8.8995471610185533</v>
      </c>
    </row>
    <row r="23" spans="1:11" x14ac:dyDescent="0.35">
      <c r="A23" s="21">
        <v>17</v>
      </c>
      <c r="B23" s="21">
        <v>17</v>
      </c>
      <c r="C23" s="21">
        <v>15</v>
      </c>
      <c r="D23" s="25"/>
      <c r="E23" s="22">
        <v>73</v>
      </c>
      <c r="F23" s="23">
        <f t="shared" si="4"/>
        <v>3.6871755057208411</v>
      </c>
      <c r="G23" s="23">
        <f t="shared" si="0"/>
        <v>69.312824494279155</v>
      </c>
      <c r="H23" s="23">
        <f t="shared" si="1"/>
        <v>-2.3972032255377016</v>
      </c>
      <c r="I23" s="23">
        <f t="shared" si="2"/>
        <v>69.312824494279155</v>
      </c>
      <c r="J23" s="23">
        <f t="shared" si="5"/>
        <v>59.206682638739416</v>
      </c>
      <c r="K23" s="24">
        <f t="shared" si="3"/>
        <v>10.10614185553974</v>
      </c>
    </row>
    <row r="24" spans="1:11" x14ac:dyDescent="0.35">
      <c r="A24" s="21">
        <v>16</v>
      </c>
      <c r="B24" s="21">
        <v>16</v>
      </c>
      <c r="C24" s="21">
        <v>16</v>
      </c>
      <c r="D24" s="25"/>
      <c r="E24" s="22">
        <v>35</v>
      </c>
      <c r="F24" s="23">
        <f t="shared" si="4"/>
        <v>-34.006568004393571</v>
      </c>
      <c r="G24" s="23">
        <f t="shared" si="0"/>
        <v>35</v>
      </c>
      <c r="H24" s="23">
        <f t="shared" si="1"/>
        <v>-37.109081096810272</v>
      </c>
      <c r="I24" s="23">
        <f t="shared" si="2"/>
        <v>35</v>
      </c>
      <c r="J24" s="23">
        <f t="shared" si="5"/>
        <v>24.05285273662826</v>
      </c>
      <c r="K24" s="24">
        <f t="shared" si="3"/>
        <v>10.94714726337174</v>
      </c>
    </row>
    <row r="25" spans="1:11" x14ac:dyDescent="0.35">
      <c r="A25" s="21">
        <v>15</v>
      </c>
      <c r="B25" s="21">
        <v>15</v>
      </c>
      <c r="C25" s="21">
        <v>17</v>
      </c>
      <c r="D25" s="25"/>
      <c r="E25" s="22">
        <v>40</v>
      </c>
      <c r="F25" s="23">
        <f t="shared" si="4"/>
        <v>-28.376436644305702</v>
      </c>
      <c r="G25" s="23">
        <f t="shared" si="0"/>
        <v>40</v>
      </c>
      <c r="H25" s="23">
        <f t="shared" si="1"/>
        <v>-32.81538887429619</v>
      </c>
      <c r="I25" s="23">
        <f t="shared" si="2"/>
        <v>40</v>
      </c>
      <c r="J25" s="23">
        <f t="shared" si="5"/>
        <v>28.521795681895693</v>
      </c>
      <c r="K25" s="24">
        <f t="shared" si="3"/>
        <v>11.478204318104307</v>
      </c>
    </row>
    <row r="26" spans="1:11" x14ac:dyDescent="0.35">
      <c r="A26" s="21">
        <v>14</v>
      </c>
      <c r="B26" s="21">
        <v>14</v>
      </c>
      <c r="C26" s="21">
        <v>18</v>
      </c>
      <c r="D26" s="25"/>
      <c r="E26" s="22">
        <v>48</v>
      </c>
      <c r="F26" s="23">
        <f t="shared" si="4"/>
        <v>-19.888907911419587</v>
      </c>
      <c r="G26" s="23">
        <f t="shared" si="0"/>
        <v>48</v>
      </c>
      <c r="H26" s="23">
        <f t="shared" si="1"/>
        <v>-25.40345803499611</v>
      </c>
      <c r="I26" s="23">
        <f t="shared" si="2"/>
        <v>48</v>
      </c>
      <c r="J26" s="23">
        <f t="shared" si="5"/>
        <v>35.871359768257776</v>
      </c>
      <c r="K26" s="24">
        <f t="shared" si="3"/>
        <v>12.128640231742224</v>
      </c>
    </row>
    <row r="27" spans="1:11" x14ac:dyDescent="0.35">
      <c r="A27" s="21">
        <v>13</v>
      </c>
      <c r="B27" s="21">
        <v>13</v>
      </c>
      <c r="C27" s="21">
        <v>19</v>
      </c>
      <c r="D27" s="25"/>
      <c r="E27" s="22">
        <v>62</v>
      </c>
      <c r="F27" s="23">
        <f t="shared" si="4"/>
        <v>-5.6311297531911961</v>
      </c>
      <c r="G27" s="23">
        <f t="shared" si="0"/>
        <v>62</v>
      </c>
      <c r="H27" s="23">
        <f t="shared" si="1"/>
        <v>-11.77903881122052</v>
      </c>
      <c r="I27" s="23">
        <f t="shared" si="2"/>
        <v>62</v>
      </c>
      <c r="J27" s="23">
        <f t="shared" si="5"/>
        <v>49.013932572892621</v>
      </c>
      <c r="K27" s="24">
        <f t="shared" si="3"/>
        <v>12.986067427107379</v>
      </c>
    </row>
    <row r="28" spans="1:11" x14ac:dyDescent="0.35">
      <c r="A28" s="21">
        <v>12</v>
      </c>
      <c r="B28" s="21">
        <v>12</v>
      </c>
      <c r="C28" s="21">
        <v>20</v>
      </c>
      <c r="D28" s="25"/>
      <c r="E28" s="22">
        <v>89</v>
      </c>
      <c r="F28" s="23">
        <f t="shared" si="4"/>
        <v>21.211492841872627</v>
      </c>
      <c r="G28" s="23">
        <f t="shared" si="0"/>
        <v>67.788507158127373</v>
      </c>
      <c r="H28" s="23">
        <f t="shared" si="1"/>
        <v>-6.1718538006881847</v>
      </c>
      <c r="I28" s="23">
        <f t="shared" si="2"/>
        <v>67.788507158127373</v>
      </c>
      <c r="J28" s="23">
        <f t="shared" si="5"/>
        <v>53.764276007980868</v>
      </c>
      <c r="K28" s="24">
        <f t="shared" si="3"/>
        <v>14.024231150146505</v>
      </c>
    </row>
    <row r="29" spans="1:11" x14ac:dyDescent="0.35">
      <c r="A29" s="21">
        <v>11</v>
      </c>
      <c r="B29" s="21">
        <v>11</v>
      </c>
      <c r="C29" s="21">
        <v>21</v>
      </c>
      <c r="D29" s="25"/>
      <c r="E29" s="22">
        <v>144</v>
      </c>
      <c r="F29" s="23">
        <f t="shared" si="4"/>
        <v>75.237262985035173</v>
      </c>
      <c r="G29" s="23">
        <f t="shared" si="0"/>
        <v>68.762737014964827</v>
      </c>
      <c r="H29" s="23">
        <f t="shared" si="1"/>
        <v>-5.3136390228766386</v>
      </c>
      <c r="I29" s="23">
        <f t="shared" si="2"/>
        <v>68.762737014964827</v>
      </c>
      <c r="J29" s="23">
        <f t="shared" si="5"/>
        <v>53.653478046090328</v>
      </c>
      <c r="K29" s="24">
        <f t="shared" si="3"/>
        <v>15.109258968874499</v>
      </c>
    </row>
    <row r="30" spans="1:11" x14ac:dyDescent="0.35">
      <c r="A30" s="21">
        <v>10</v>
      </c>
      <c r="B30" s="21">
        <v>10</v>
      </c>
      <c r="C30" s="21">
        <v>22</v>
      </c>
      <c r="D30" s="25"/>
      <c r="E30" s="22">
        <v>308</v>
      </c>
      <c r="F30" s="23">
        <f t="shared" si="4"/>
        <v>236.09251772533446</v>
      </c>
      <c r="G30" s="23">
        <f t="shared" si="0"/>
        <v>71.90748227466554</v>
      </c>
      <c r="H30" s="23">
        <f t="shared" si="1"/>
        <v>-2.2452461385438092</v>
      </c>
      <c r="I30" s="23">
        <f t="shared" si="2"/>
        <v>71.90748227466554</v>
      </c>
      <c r="J30" s="23">
        <f t="shared" si="5"/>
        <v>55.693706292272225</v>
      </c>
      <c r="K30" s="24">
        <f t="shared" si="3"/>
        <v>16.213775982393315</v>
      </c>
    </row>
    <row r="31" spans="1:11" x14ac:dyDescent="0.35">
      <c r="A31" s="21">
        <v>9</v>
      </c>
      <c r="B31" s="21">
        <v>9</v>
      </c>
      <c r="C31" s="21">
        <v>23</v>
      </c>
      <c r="D31" s="25"/>
      <c r="E31" s="22">
        <v>1169</v>
      </c>
      <c r="F31" s="23">
        <f t="shared" si="4"/>
        <v>1083.7606673708278</v>
      </c>
      <c r="G31" s="23">
        <f t="shared" si="0"/>
        <v>85.239332629172168</v>
      </c>
      <c r="H31" s="23">
        <f t="shared" si="1"/>
        <v>11.176822155528319</v>
      </c>
      <c r="I31" s="23">
        <f t="shared" si="2"/>
        <v>74.062510473643854</v>
      </c>
      <c r="J31" s="23">
        <f t="shared" si="5"/>
        <v>56.713310083415308</v>
      </c>
      <c r="K31" s="24">
        <f t="shared" si="3"/>
        <v>17.349200390228546</v>
      </c>
    </row>
    <row r="32" spans="1:11" x14ac:dyDescent="0.35">
      <c r="A32" s="21">
        <v>8</v>
      </c>
      <c r="B32" s="21">
        <v>8</v>
      </c>
      <c r="C32" s="21">
        <v>24</v>
      </c>
      <c r="D32" s="25"/>
      <c r="E32" s="22">
        <v>95</v>
      </c>
      <c r="F32" s="23">
        <f t="shared" si="4"/>
        <v>-1.1745459765886608</v>
      </c>
      <c r="G32" s="23">
        <f t="shared" si="0"/>
        <v>95</v>
      </c>
      <c r="H32" s="23">
        <f t="shared" si="1"/>
        <v>21.265186584334565</v>
      </c>
      <c r="I32" s="23">
        <f t="shared" si="2"/>
        <v>73.734813415665428</v>
      </c>
      <c r="J32" s="23">
        <f t="shared" si="5"/>
        <v>55.254623794348355</v>
      </c>
      <c r="K32" s="24">
        <f t="shared" si="3"/>
        <v>18.480189621317074</v>
      </c>
    </row>
    <row r="33" spans="1:18" x14ac:dyDescent="0.35">
      <c r="A33" s="21">
        <v>7</v>
      </c>
      <c r="B33" s="21">
        <v>7</v>
      </c>
      <c r="C33" s="21">
        <v>25</v>
      </c>
      <c r="D33" s="25"/>
      <c r="E33" s="22">
        <v>26</v>
      </c>
      <c r="F33" s="23">
        <f t="shared" si="4"/>
        <v>-69.461055057056896</v>
      </c>
      <c r="G33" s="23">
        <f t="shared" si="0"/>
        <v>26</v>
      </c>
      <c r="H33" s="23">
        <f t="shared" si="1"/>
        <v>-48.004911648638199</v>
      </c>
      <c r="I33" s="23">
        <f t="shared" si="2"/>
        <v>26</v>
      </c>
      <c r="J33" s="23">
        <f t="shared" si="5"/>
        <v>6.8920660369526132</v>
      </c>
      <c r="K33" s="24">
        <f t="shared" si="3"/>
        <v>19.107933963047387</v>
      </c>
    </row>
    <row r="34" spans="1:18" x14ac:dyDescent="0.35">
      <c r="A34" s="21">
        <v>6</v>
      </c>
      <c r="B34" s="21">
        <v>6</v>
      </c>
      <c r="C34" s="21">
        <v>26</v>
      </c>
      <c r="D34" s="25"/>
      <c r="E34" s="22">
        <v>36</v>
      </c>
      <c r="F34" s="23">
        <f t="shared" si="4"/>
        <v>-58.171833955915751</v>
      </c>
      <c r="G34" s="23">
        <f t="shared" si="0"/>
        <v>36</v>
      </c>
      <c r="H34" s="23">
        <f t="shared" si="1"/>
        <v>-38.882562906773671</v>
      </c>
      <c r="I34" s="23">
        <f t="shared" si="2"/>
        <v>36</v>
      </c>
      <c r="J34" s="23">
        <f t="shared" si="5"/>
        <v>16.654224716213562</v>
      </c>
      <c r="K34" s="24">
        <f t="shared" si="3"/>
        <v>19.345775283786438</v>
      </c>
    </row>
    <row r="35" spans="1:18" x14ac:dyDescent="0.35">
      <c r="A35" s="21">
        <v>5</v>
      </c>
      <c r="B35" s="21">
        <v>5</v>
      </c>
      <c r="C35" s="21">
        <v>27</v>
      </c>
      <c r="D35" s="25"/>
      <c r="E35" s="22">
        <v>57</v>
      </c>
      <c r="F35" s="23">
        <f t="shared" si="4"/>
        <v>-36.21839727679744</v>
      </c>
      <c r="G35" s="23">
        <f t="shared" si="0"/>
        <v>57</v>
      </c>
      <c r="H35" s="23">
        <f t="shared" si="1"/>
        <v>-18.461798884462933</v>
      </c>
      <c r="I35" s="23">
        <f t="shared" si="2"/>
        <v>57</v>
      </c>
      <c r="J35" s="23">
        <f t="shared" si="5"/>
        <v>37.111140221889286</v>
      </c>
      <c r="K35" s="24">
        <f t="shared" si="3"/>
        <v>19.888859778110714</v>
      </c>
    </row>
    <row r="36" spans="1:18" x14ac:dyDescent="0.35">
      <c r="A36" s="21">
        <v>4</v>
      </c>
      <c r="B36" s="21">
        <v>4</v>
      </c>
      <c r="C36" s="21">
        <v>28</v>
      </c>
      <c r="D36" s="25"/>
      <c r="E36" s="22">
        <v>117</v>
      </c>
      <c r="F36" s="23">
        <f t="shared" si="4"/>
        <v>23.905970668738512</v>
      </c>
      <c r="G36" s="23">
        <f t="shared" si="0"/>
        <v>93.094029331261481</v>
      </c>
      <c r="H36" s="23">
        <f t="shared" si="1"/>
        <v>17.623765462740746</v>
      </c>
      <c r="I36" s="23">
        <f t="shared" si="2"/>
        <v>75.470263868520732</v>
      </c>
      <c r="J36" s="23">
        <f t="shared" si="5"/>
        <v>54.654478647287021</v>
      </c>
      <c r="K36" s="24">
        <f t="shared" si="3"/>
        <v>20.81578522123371</v>
      </c>
    </row>
    <row r="37" spans="1:18" x14ac:dyDescent="0.35">
      <c r="A37" s="21">
        <v>3</v>
      </c>
      <c r="B37" s="21">
        <v>3</v>
      </c>
      <c r="C37" s="21">
        <v>29</v>
      </c>
      <c r="D37" s="25"/>
      <c r="E37" s="22">
        <v>108</v>
      </c>
      <c r="F37" s="23">
        <f t="shared" si="4"/>
        <v>14.517851255363741</v>
      </c>
      <c r="G37" s="23">
        <f t="shared" si="0"/>
        <v>93.482148744636262</v>
      </c>
      <c r="H37" s="23">
        <f t="shared" si="1"/>
        <v>18.375513961205897</v>
      </c>
      <c r="I37" s="23">
        <f t="shared" si="2"/>
        <v>75.106634783430366</v>
      </c>
      <c r="J37" s="23">
        <f t="shared" si="5"/>
        <v>53.201396280101818</v>
      </c>
      <c r="K37" s="24">
        <f t="shared" si="3"/>
        <v>21.905238503328547</v>
      </c>
    </row>
    <row r="38" spans="1:18" s="27" customFormat="1" x14ac:dyDescent="0.35">
      <c r="A38" s="21">
        <v>2</v>
      </c>
      <c r="B38" s="21">
        <v>2</v>
      </c>
      <c r="C38" s="21">
        <v>30</v>
      </c>
      <c r="D38" s="25"/>
      <c r="E38" s="22">
        <v>7</v>
      </c>
      <c r="F38" s="23">
        <f t="shared" si="4"/>
        <v>-85.762505769743527</v>
      </c>
      <c r="G38" s="23">
        <f t="shared" si="0"/>
        <v>7</v>
      </c>
      <c r="H38" s="23">
        <f t="shared" si="1"/>
        <v>-68.61409519998368</v>
      </c>
      <c r="I38" s="23">
        <f t="shared" si="2"/>
        <v>7</v>
      </c>
      <c r="J38" s="23">
        <f t="shared" si="5"/>
        <v>-15.288200081096285</v>
      </c>
      <c r="K38" s="24">
        <f t="shared" si="3"/>
        <v>7</v>
      </c>
      <c r="M38"/>
      <c r="N38"/>
    </row>
    <row r="39" spans="1:18" s="27" customFormat="1" x14ac:dyDescent="0.35">
      <c r="A39" s="28">
        <v>1</v>
      </c>
      <c r="B39" s="28">
        <v>1</v>
      </c>
      <c r="C39" s="29">
        <v>31</v>
      </c>
      <c r="D39" s="30">
        <v>19740603</v>
      </c>
      <c r="E39" s="30">
        <v>5</v>
      </c>
      <c r="F39" s="31">
        <f t="shared" si="4"/>
        <v>-86.027255654348664</v>
      </c>
      <c r="G39" s="31">
        <f t="shared" si="0"/>
        <v>5</v>
      </c>
      <c r="H39" s="31">
        <f t="shared" si="1"/>
        <v>-72.034791020391509</v>
      </c>
      <c r="I39" s="31">
        <f t="shared" si="2"/>
        <v>5</v>
      </c>
      <c r="J39" s="31">
        <f t="shared" si="5"/>
        <v>-16.962436079474358</v>
      </c>
      <c r="K39" s="31">
        <f t="shared" si="3"/>
        <v>5</v>
      </c>
      <c r="L39" s="32"/>
      <c r="M39" s="1"/>
      <c r="N39" s="33"/>
    </row>
    <row r="40" spans="1:18" s="27" customFormat="1" x14ac:dyDescent="0.35">
      <c r="A40" s="34">
        <v>2</v>
      </c>
      <c r="B40" s="34">
        <v>2</v>
      </c>
      <c r="C40" s="21">
        <v>32</v>
      </c>
      <c r="D40" s="35">
        <v>19740604</v>
      </c>
      <c r="E40" s="22">
        <v>7</v>
      </c>
      <c r="F40" s="23">
        <f t="shared" si="4"/>
        <v>-82.32671054126169</v>
      </c>
      <c r="G40" s="23">
        <f t="shared" si="0"/>
        <v>7</v>
      </c>
      <c r="H40" s="23">
        <f t="shared" si="1"/>
        <v>-71.484480633052556</v>
      </c>
      <c r="I40" s="23">
        <f t="shared" si="2"/>
        <v>7</v>
      </c>
      <c r="J40" s="23">
        <f t="shared" si="5"/>
        <v>-14.643187357884869</v>
      </c>
      <c r="K40" s="24">
        <f t="shared" si="3"/>
        <v>7</v>
      </c>
      <c r="L40" s="32"/>
      <c r="M40"/>
      <c r="N40"/>
      <c r="O40"/>
      <c r="P40"/>
      <c r="Q40"/>
      <c r="R40"/>
    </row>
    <row r="41" spans="1:18" s="27" customFormat="1" x14ac:dyDescent="0.35">
      <c r="A41" s="34">
        <v>3</v>
      </c>
      <c r="B41" s="34">
        <v>3</v>
      </c>
      <c r="C41" s="21">
        <v>33</v>
      </c>
      <c r="D41" s="35">
        <v>19740605</v>
      </c>
      <c r="E41" s="22">
        <v>108</v>
      </c>
      <c r="F41" s="23">
        <f t="shared" si="4"/>
        <v>19.309823669563542</v>
      </c>
      <c r="G41" s="23">
        <f t="shared" si="0"/>
        <v>88.690176330436458</v>
      </c>
      <c r="H41" s="23">
        <f t="shared" si="1"/>
        <v>9.5804019735505488</v>
      </c>
      <c r="I41" s="23">
        <f t="shared" si="2"/>
        <v>79.109774356885907</v>
      </c>
      <c r="J41" s="23">
        <f t="shared" si="5"/>
        <v>57.038353002589872</v>
      </c>
      <c r="K41" s="24">
        <f t="shared" si="3"/>
        <v>22.071421354296035</v>
      </c>
      <c r="L41" s="32"/>
      <c r="M41"/>
      <c r="N41"/>
      <c r="O41"/>
      <c r="P41"/>
      <c r="Q41"/>
      <c r="R41"/>
    </row>
    <row r="42" spans="1:18" s="27" customFormat="1" x14ac:dyDescent="0.35">
      <c r="A42" s="34">
        <v>4</v>
      </c>
      <c r="B42" s="34">
        <v>4</v>
      </c>
      <c r="C42" s="21">
        <v>34</v>
      </c>
      <c r="D42" s="35">
        <v>19740606</v>
      </c>
      <c r="E42" s="22">
        <v>117</v>
      </c>
      <c r="F42" s="23">
        <f t="shared" ref="F42:F73" si="6">a*F41+(1+a)*(E42-E41)/2</f>
        <v>27.833627196172269</v>
      </c>
      <c r="G42" s="23">
        <f t="shared" si="0"/>
        <v>89.166372803827727</v>
      </c>
      <c r="H42" s="23">
        <f t="shared" si="1"/>
        <v>10.256976002252966</v>
      </c>
      <c r="I42" s="23">
        <f t="shared" si="2"/>
        <v>78.909396801574758</v>
      </c>
      <c r="J42" s="23">
        <f t="shared" si="5"/>
        <v>55.699212162780036</v>
      </c>
      <c r="K42" s="24">
        <f t="shared" si="3"/>
        <v>23.210184638794722</v>
      </c>
      <c r="L42" s="32"/>
      <c r="M42"/>
      <c r="N42"/>
      <c r="O42"/>
      <c r="P42"/>
      <c r="Q42"/>
      <c r="R42"/>
    </row>
    <row r="43" spans="1:18" s="27" customFormat="1" x14ac:dyDescent="0.35">
      <c r="A43" s="34">
        <v>5</v>
      </c>
      <c r="B43" s="34">
        <v>5</v>
      </c>
      <c r="C43" s="21">
        <v>35</v>
      </c>
      <c r="D43" s="35">
        <v>19740607</v>
      </c>
      <c r="E43" s="22">
        <v>57</v>
      </c>
      <c r="F43" s="23">
        <f t="shared" si="6"/>
        <v>-32.123045347751173</v>
      </c>
      <c r="G43" s="23">
        <f t="shared" si="0"/>
        <v>57</v>
      </c>
      <c r="H43" s="23">
        <f t="shared" si="1"/>
        <v>-22.028299054629066</v>
      </c>
      <c r="I43" s="23">
        <f t="shared" si="2"/>
        <v>57</v>
      </c>
      <c r="J43" s="23">
        <f t="shared" si="5"/>
        <v>32.894925085965426</v>
      </c>
      <c r="K43" s="24">
        <f t="shared" si="3"/>
        <v>24.105074914034574</v>
      </c>
      <c r="L43" s="32"/>
      <c r="M43"/>
      <c r="N43"/>
      <c r="O43"/>
      <c r="P43"/>
      <c r="Q43"/>
      <c r="R43"/>
    </row>
    <row r="44" spans="1:18" s="27" customFormat="1" x14ac:dyDescent="0.35">
      <c r="A44" s="34">
        <v>6</v>
      </c>
      <c r="B44" s="34">
        <v>6</v>
      </c>
      <c r="C44" s="21">
        <v>36</v>
      </c>
      <c r="D44" s="35">
        <v>19740608</v>
      </c>
      <c r="E44" s="22">
        <v>36</v>
      </c>
      <c r="F44" s="23">
        <f t="shared" si="6"/>
        <v>-52.270584440796149</v>
      </c>
      <c r="G44" s="23">
        <f t="shared" si="0"/>
        <v>36</v>
      </c>
      <c r="H44" s="23">
        <f t="shared" si="1"/>
        <v>-43.692141892478638</v>
      </c>
      <c r="I44" s="23">
        <f t="shared" si="2"/>
        <v>36</v>
      </c>
      <c r="J44" s="23">
        <f t="shared" si="5"/>
        <v>11.447026584246117</v>
      </c>
      <c r="K44" s="24">
        <f t="shared" si="3"/>
        <v>24.552973415753883</v>
      </c>
      <c r="L44" s="32"/>
      <c r="M44"/>
      <c r="N44"/>
      <c r="O44"/>
      <c r="P44"/>
      <c r="Q44"/>
      <c r="R44"/>
    </row>
    <row r="45" spans="1:18" s="27" customFormat="1" ht="15.5" x14ac:dyDescent="0.35">
      <c r="A45" s="34">
        <v>7</v>
      </c>
      <c r="B45" s="34">
        <v>7</v>
      </c>
      <c r="C45" s="21">
        <v>37</v>
      </c>
      <c r="D45" s="35">
        <v>19740609</v>
      </c>
      <c r="E45" s="22">
        <v>26</v>
      </c>
      <c r="F45" s="23">
        <f t="shared" si="6"/>
        <v>-61.125172751980223</v>
      </c>
      <c r="G45" s="23">
        <f t="shared" si="0"/>
        <v>26</v>
      </c>
      <c r="H45" s="23">
        <f t="shared" si="1"/>
        <v>-54.685859073957793</v>
      </c>
      <c r="I45" s="23">
        <f t="shared" si="2"/>
        <v>26</v>
      </c>
      <c r="J45" s="23">
        <f t="shared" si="5"/>
        <v>1.3180860525611937</v>
      </c>
      <c r="K45" s="24">
        <f t="shared" si="3"/>
        <v>24.681913947438808</v>
      </c>
      <c r="L45" s="32"/>
      <c r="M45" s="36"/>
      <c r="N45"/>
      <c r="O45"/>
      <c r="P45"/>
      <c r="Q45"/>
      <c r="R45"/>
    </row>
    <row r="46" spans="1:18" s="27" customFormat="1" x14ac:dyDescent="0.35">
      <c r="A46" s="34">
        <v>8</v>
      </c>
      <c r="B46" s="34">
        <v>8</v>
      </c>
      <c r="C46" s="21">
        <v>38</v>
      </c>
      <c r="D46" s="35">
        <v>19740610</v>
      </c>
      <c r="E46" s="22">
        <v>95</v>
      </c>
      <c r="F46" s="23">
        <f t="shared" si="6"/>
        <v>8.4073307030593867</v>
      </c>
      <c r="G46" s="23">
        <f t="shared" si="0"/>
        <v>86.592669296940613</v>
      </c>
      <c r="H46" s="23">
        <f t="shared" si="1"/>
        <v>5.4090648265443022</v>
      </c>
      <c r="I46" s="23">
        <f t="shared" si="2"/>
        <v>81.183604470396318</v>
      </c>
      <c r="J46" s="23">
        <f t="shared" si="5"/>
        <v>55.923492757202325</v>
      </c>
      <c r="K46" s="24">
        <f t="shared" si="3"/>
        <v>25.260111713193993</v>
      </c>
      <c r="L46" s="32"/>
      <c r="M46"/>
      <c r="N46"/>
      <c r="O46"/>
      <c r="P46"/>
      <c r="Q46"/>
      <c r="R46"/>
    </row>
    <row r="47" spans="1:18" s="27" customFormat="1" x14ac:dyDescent="0.35">
      <c r="A47" s="34">
        <v>9</v>
      </c>
      <c r="B47" s="34">
        <v>9</v>
      </c>
      <c r="C47" s="21">
        <v>39</v>
      </c>
      <c r="D47" s="35">
        <v>19740611</v>
      </c>
      <c r="E47" s="22">
        <v>1169</v>
      </c>
      <c r="F47" s="23">
        <f t="shared" si="6"/>
        <v>1071.4991840889982</v>
      </c>
      <c r="G47" s="23">
        <f t="shared" si="0"/>
        <v>97.500815911001837</v>
      </c>
      <c r="H47" s="23">
        <f t="shared" si="1"/>
        <v>16.538908137209095</v>
      </c>
      <c r="I47" s="23">
        <f t="shared" si="2"/>
        <v>80.961907773792746</v>
      </c>
      <c r="J47" s="23">
        <f t="shared" si="5"/>
        <v>54.585543172420742</v>
      </c>
      <c r="K47" s="24">
        <f t="shared" si="3"/>
        <v>26.376364601372003</v>
      </c>
      <c r="L47" s="32"/>
      <c r="M47"/>
      <c r="N47"/>
      <c r="O47"/>
      <c r="P47"/>
      <c r="Q47"/>
      <c r="R47"/>
    </row>
    <row r="48" spans="1:18" s="27" customFormat="1" x14ac:dyDescent="0.35">
      <c r="A48" s="34">
        <v>10</v>
      </c>
      <c r="B48" s="34">
        <v>10</v>
      </c>
      <c r="C48" s="21">
        <v>40</v>
      </c>
      <c r="D48" s="35">
        <v>19740612</v>
      </c>
      <c r="E48" s="22">
        <v>308</v>
      </c>
      <c r="F48" s="23">
        <f t="shared" si="6"/>
        <v>197.67920040721822</v>
      </c>
      <c r="G48" s="23">
        <f t="shared" si="0"/>
        <v>110.32079959278178</v>
      </c>
      <c r="H48" s="23">
        <f t="shared" si="1"/>
        <v>29.827236716501268</v>
      </c>
      <c r="I48" s="23">
        <f t="shared" si="2"/>
        <v>80.493562876280521</v>
      </c>
      <c r="J48" s="23">
        <f t="shared" si="5"/>
        <v>53.030170860435227</v>
      </c>
      <c r="K48" s="24">
        <f t="shared" si="3"/>
        <v>27.463392015845294</v>
      </c>
      <c r="L48" s="32"/>
      <c r="M48"/>
      <c r="N48"/>
      <c r="O48"/>
      <c r="P48"/>
      <c r="Q48"/>
      <c r="R48"/>
    </row>
    <row r="49" spans="1:18" s="27" customFormat="1" x14ac:dyDescent="0.35">
      <c r="A49" s="34">
        <v>11</v>
      </c>
      <c r="B49" s="34">
        <v>11</v>
      </c>
      <c r="C49" s="21">
        <v>41</v>
      </c>
      <c r="D49" s="35">
        <v>19740613</v>
      </c>
      <c r="E49" s="22">
        <v>144</v>
      </c>
      <c r="F49" s="23">
        <f t="shared" si="6"/>
        <v>31.365616399073872</v>
      </c>
      <c r="G49" s="23">
        <f t="shared" si="0"/>
        <v>112.63438360092613</v>
      </c>
      <c r="H49" s="23">
        <f t="shared" si="1"/>
        <v>32.77314784139201</v>
      </c>
      <c r="I49" s="23">
        <f t="shared" si="2"/>
        <v>79.861235759534111</v>
      </c>
      <c r="J49" s="23">
        <f t="shared" si="5"/>
        <v>51.343563597647581</v>
      </c>
      <c r="K49" s="24">
        <f t="shared" si="3"/>
        <v>28.51767216188653</v>
      </c>
      <c r="L49" s="32"/>
      <c r="M49"/>
      <c r="N49"/>
      <c r="O49"/>
      <c r="P49"/>
      <c r="Q49"/>
      <c r="R49"/>
    </row>
    <row r="50" spans="1:18" s="27" customFormat="1" x14ac:dyDescent="0.35">
      <c r="A50" s="34">
        <v>12</v>
      </c>
      <c r="B50" s="34">
        <v>12</v>
      </c>
      <c r="C50" s="21">
        <v>42</v>
      </c>
      <c r="D50" s="35">
        <v>19740614</v>
      </c>
      <c r="E50" s="22">
        <v>89</v>
      </c>
      <c r="F50" s="23">
        <f t="shared" si="6"/>
        <v>-23.711695928907609</v>
      </c>
      <c r="G50" s="23">
        <f t="shared" si="0"/>
        <v>89</v>
      </c>
      <c r="H50" s="23">
        <f t="shared" si="1"/>
        <v>9.5664368127297408</v>
      </c>
      <c r="I50" s="23">
        <f t="shared" si="2"/>
        <v>79.433563187270266</v>
      </c>
      <c r="J50" s="23">
        <f t="shared" si="5"/>
        <v>49.89329647915342</v>
      </c>
      <c r="K50" s="24">
        <f t="shared" si="3"/>
        <v>29.540266708116846</v>
      </c>
      <c r="L50" s="32"/>
      <c r="M50"/>
      <c r="N50"/>
      <c r="O50"/>
      <c r="P50"/>
      <c r="Q50"/>
      <c r="R50"/>
    </row>
    <row r="51" spans="1:18" s="27" customFormat="1" x14ac:dyDescent="0.35">
      <c r="A51" s="34">
        <v>13</v>
      </c>
      <c r="B51" s="34">
        <v>13</v>
      </c>
      <c r="C51" s="21">
        <v>43</v>
      </c>
      <c r="D51" s="35">
        <v>19740615</v>
      </c>
      <c r="E51" s="22">
        <v>62</v>
      </c>
      <c r="F51" s="23">
        <f t="shared" si="6"/>
        <v>-49.967462010329456</v>
      </c>
      <c r="G51" s="23">
        <f t="shared" si="0"/>
        <v>62</v>
      </c>
      <c r="H51" s="23">
        <f t="shared" si="1"/>
        <v>-17.513839987010471</v>
      </c>
      <c r="I51" s="23">
        <f t="shared" si="2"/>
        <v>62</v>
      </c>
      <c r="J51" s="23">
        <f t="shared" si="5"/>
        <v>31.636202994172788</v>
      </c>
      <c r="K51" s="24">
        <f t="shared" si="3"/>
        <v>30.363797005827212</v>
      </c>
      <c r="L51" s="32"/>
      <c r="M51"/>
      <c r="N51"/>
      <c r="O51"/>
      <c r="P51"/>
      <c r="Q51"/>
      <c r="R51"/>
    </row>
    <row r="52" spans="1:18" s="27" customFormat="1" x14ac:dyDescent="0.35">
      <c r="A52" s="34">
        <v>14</v>
      </c>
      <c r="B52" s="34">
        <v>14</v>
      </c>
      <c r="C52" s="21">
        <v>44</v>
      </c>
      <c r="D52" s="35">
        <v>19740616</v>
      </c>
      <c r="E52" s="22">
        <v>48</v>
      </c>
      <c r="F52" s="23">
        <f t="shared" si="6"/>
        <v>-62.828112770122864</v>
      </c>
      <c r="G52" s="23">
        <f t="shared" si="0"/>
        <v>48</v>
      </c>
      <c r="H52" s="23">
        <f t="shared" si="1"/>
        <v>-32.014122435724971</v>
      </c>
      <c r="I52" s="23">
        <f t="shared" si="2"/>
        <v>48</v>
      </c>
      <c r="J52" s="23">
        <f t="shared" si="5"/>
        <v>17.14347893428933</v>
      </c>
      <c r="K52" s="24">
        <f t="shared" si="3"/>
        <v>30.85652106571067</v>
      </c>
      <c r="L52" s="32"/>
      <c r="M52"/>
      <c r="N52"/>
      <c r="O52"/>
      <c r="P52"/>
      <c r="Q52"/>
      <c r="R52"/>
    </row>
    <row r="53" spans="1:18" s="27" customFormat="1" x14ac:dyDescent="0.35">
      <c r="A53" s="34">
        <v>15</v>
      </c>
      <c r="B53" s="34">
        <v>15</v>
      </c>
      <c r="C53" s="21">
        <v>45</v>
      </c>
      <c r="D53" s="35">
        <v>19740617</v>
      </c>
      <c r="E53" s="22">
        <v>40</v>
      </c>
      <c r="F53" s="23">
        <f t="shared" si="6"/>
        <v>-69.491550514720402</v>
      </c>
      <c r="G53" s="23">
        <f t="shared" si="0"/>
        <v>40</v>
      </c>
      <c r="H53" s="23">
        <f t="shared" si="1"/>
        <v>-40.749104526249972</v>
      </c>
      <c r="I53" s="23">
        <f t="shared" si="2"/>
        <v>40</v>
      </c>
      <c r="J53" s="23">
        <f t="shared" si="5"/>
        <v>8.8806093556035446</v>
      </c>
      <c r="K53" s="24">
        <f t="shared" si="3"/>
        <v>31.119390644396454</v>
      </c>
      <c r="L53" s="32"/>
      <c r="M53"/>
      <c r="N53"/>
      <c r="O53"/>
      <c r="P53"/>
      <c r="Q53"/>
      <c r="R53"/>
    </row>
    <row r="54" spans="1:18" s="27" customFormat="1" x14ac:dyDescent="0.35">
      <c r="A54" s="34">
        <v>16</v>
      </c>
      <c r="B54" s="34">
        <v>16</v>
      </c>
      <c r="C54" s="21">
        <v>46</v>
      </c>
      <c r="D54" s="35">
        <v>19740618</v>
      </c>
      <c r="E54" s="22">
        <v>35</v>
      </c>
      <c r="F54" s="23">
        <f t="shared" si="6"/>
        <v>-73.051719504425989</v>
      </c>
      <c r="G54" s="23">
        <f t="shared" si="0"/>
        <v>35</v>
      </c>
      <c r="H54" s="23">
        <f t="shared" si="1"/>
        <v>-46.631739312499974</v>
      </c>
      <c r="I54" s="23">
        <f t="shared" si="2"/>
        <v>35</v>
      </c>
      <c r="J54" s="23">
        <f t="shared" si="5"/>
        <v>3.7529971684914729</v>
      </c>
      <c r="K54" s="24">
        <f t="shared" si="3"/>
        <v>31.247002831508528</v>
      </c>
      <c r="L54" s="32"/>
      <c r="M54"/>
      <c r="N54"/>
      <c r="O54"/>
      <c r="P54"/>
      <c r="Q54"/>
      <c r="R54"/>
    </row>
    <row r="55" spans="1:18" s="27" customFormat="1" x14ac:dyDescent="0.35">
      <c r="A55" s="34">
        <v>17</v>
      </c>
      <c r="B55" s="34">
        <v>17</v>
      </c>
      <c r="C55" s="21">
        <v>47</v>
      </c>
      <c r="D55" s="35">
        <v>19740619</v>
      </c>
      <c r="E55" s="22">
        <v>73</v>
      </c>
      <c r="F55" s="23">
        <f t="shared" si="6"/>
        <v>-33.970685114337478</v>
      </c>
      <c r="G55" s="23">
        <f t="shared" si="0"/>
        <v>73</v>
      </c>
      <c r="H55" s="23">
        <f t="shared" si="1"/>
        <v>-9.195652359693856</v>
      </c>
      <c r="I55" s="23">
        <f t="shared" si="2"/>
        <v>73</v>
      </c>
      <c r="J55" s="23">
        <f t="shared" si="5"/>
        <v>41.297937225121643</v>
      </c>
      <c r="K55" s="24">
        <f t="shared" si="3"/>
        <v>31.702062774878357</v>
      </c>
      <c r="L55" s="32"/>
      <c r="M55"/>
      <c r="N55"/>
      <c r="O55"/>
      <c r="P55"/>
      <c r="Q55"/>
      <c r="R55"/>
    </row>
    <row r="56" spans="1:18" s="27" customFormat="1" x14ac:dyDescent="0.35">
      <c r="A56" s="34">
        <v>18</v>
      </c>
      <c r="B56" s="34">
        <v>18</v>
      </c>
      <c r="C56" s="21">
        <v>48</v>
      </c>
      <c r="D56" s="35">
        <v>19740620</v>
      </c>
      <c r="E56" s="22">
        <v>82</v>
      </c>
      <c r="F56" s="23">
        <f t="shared" si="6"/>
        <v>-24.381271412050726</v>
      </c>
      <c r="G56" s="23">
        <f t="shared" si="0"/>
        <v>82</v>
      </c>
      <c r="H56" s="23">
        <f t="shared" si="1"/>
        <v>-0.29148199968760835</v>
      </c>
      <c r="I56" s="23">
        <f t="shared" si="2"/>
        <v>82</v>
      </c>
      <c r="J56" s="23">
        <f t="shared" si="5"/>
        <v>49.38197848061921</v>
      </c>
      <c r="K56" s="24">
        <f t="shared" si="3"/>
        <v>32.61802151938079</v>
      </c>
      <c r="L56" s="32"/>
      <c r="M56"/>
      <c r="N56"/>
      <c r="O56"/>
      <c r="P56"/>
      <c r="Q56"/>
      <c r="R56"/>
    </row>
    <row r="57" spans="1:18" s="27" customFormat="1" x14ac:dyDescent="0.35">
      <c r="A57" s="34">
        <v>19</v>
      </c>
      <c r="B57" s="34">
        <v>19</v>
      </c>
      <c r="C57" s="21">
        <v>49</v>
      </c>
      <c r="D57" s="35">
        <v>19740621</v>
      </c>
      <c r="E57" s="22">
        <v>342</v>
      </c>
      <c r="F57" s="23">
        <f t="shared" si="6"/>
        <v>233.50635401619027</v>
      </c>
      <c r="G57" s="23">
        <f t="shared" si="0"/>
        <v>108.49364598380973</v>
      </c>
      <c r="H57" s="23">
        <f t="shared" si="1"/>
        <v>26.466558698249003</v>
      </c>
      <c r="I57" s="23">
        <f t="shared" si="2"/>
        <v>82.027087285560725</v>
      </c>
      <c r="J57" s="23">
        <f t="shared" si="5"/>
        <v>48.421155323711943</v>
      </c>
      <c r="K57" s="24">
        <f t="shared" si="3"/>
        <v>33.605931961848782</v>
      </c>
      <c r="L57" s="32"/>
      <c r="M57"/>
      <c r="N57"/>
      <c r="O57"/>
      <c r="P57"/>
      <c r="Q57"/>
      <c r="R57"/>
    </row>
    <row r="58" spans="1:18" s="27" customFormat="1" x14ac:dyDescent="0.35">
      <c r="A58" s="34">
        <v>20</v>
      </c>
      <c r="B58" s="34">
        <v>20</v>
      </c>
      <c r="C58" s="21">
        <v>50</v>
      </c>
      <c r="D58" s="35">
        <v>19740622</v>
      </c>
      <c r="E58" s="22">
        <v>393</v>
      </c>
      <c r="F58" s="23">
        <f t="shared" si="6"/>
        <v>279.32622693586643</v>
      </c>
      <c r="G58" s="23">
        <f t="shared" si="0"/>
        <v>113.67377306413357</v>
      </c>
      <c r="H58" s="23">
        <f t="shared" si="1"/>
        <v>32.23967806915266</v>
      </c>
      <c r="I58" s="23">
        <f t="shared" si="2"/>
        <v>81.43409499498091</v>
      </c>
      <c r="J58" s="23">
        <f t="shared" si="5"/>
        <v>46.865669849563687</v>
      </c>
      <c r="K58" s="24">
        <f t="shared" si="3"/>
        <v>34.568425145417223</v>
      </c>
      <c r="L58" s="32"/>
      <c r="M58"/>
      <c r="N58"/>
      <c r="O58"/>
      <c r="P58"/>
      <c r="Q58"/>
      <c r="R58"/>
    </row>
    <row r="59" spans="1:18" s="27" customFormat="1" x14ac:dyDescent="0.35">
      <c r="A59" s="34">
        <v>21</v>
      </c>
      <c r="B59" s="34">
        <v>21</v>
      </c>
      <c r="C59" s="21">
        <v>51</v>
      </c>
      <c r="D59" s="35">
        <v>19740623</v>
      </c>
      <c r="E59" s="22">
        <v>310</v>
      </c>
      <c r="F59" s="23">
        <f t="shared" si="6"/>
        <v>191.56970239714906</v>
      </c>
      <c r="G59" s="23">
        <f t="shared" si="0"/>
        <v>118.43029760285094</v>
      </c>
      <c r="H59" s="23">
        <f t="shared" si="1"/>
        <v>37.702691186206998</v>
      </c>
      <c r="I59" s="23">
        <f t="shared" si="2"/>
        <v>80.727606416643937</v>
      </c>
      <c r="J59" s="23">
        <f t="shared" si="5"/>
        <v>45.228932760018814</v>
      </c>
      <c r="K59" s="24">
        <f t="shared" si="3"/>
        <v>35.498673656625122</v>
      </c>
      <c r="L59" s="32"/>
      <c r="M59"/>
      <c r="N59"/>
      <c r="O59"/>
      <c r="P59"/>
      <c r="Q59"/>
      <c r="R59"/>
    </row>
    <row r="60" spans="1:18" s="27" customFormat="1" x14ac:dyDescent="0.35">
      <c r="A60" s="34">
        <v>22</v>
      </c>
      <c r="B60" s="34">
        <v>22</v>
      </c>
      <c r="C60" s="21">
        <v>52</v>
      </c>
      <c r="D60" s="35">
        <v>19740624</v>
      </c>
      <c r="E60" s="22">
        <v>275</v>
      </c>
      <c r="F60" s="23">
        <f t="shared" si="6"/>
        <v>153.08830834920607</v>
      </c>
      <c r="G60" s="23">
        <f t="shared" si="0"/>
        <v>121.91169165079393</v>
      </c>
      <c r="H60" s="23">
        <f t="shared" si="1"/>
        <v>41.989052340480157</v>
      </c>
      <c r="I60" s="23">
        <f t="shared" si="2"/>
        <v>79.92263931031377</v>
      </c>
      <c r="J60" s="23">
        <f t="shared" si="5"/>
        <v>43.527436669551577</v>
      </c>
      <c r="K60" s="24">
        <f t="shared" si="3"/>
        <v>36.395202640762193</v>
      </c>
      <c r="L60" s="32"/>
      <c r="M60"/>
      <c r="N60"/>
      <c r="O60"/>
      <c r="P60"/>
      <c r="Q60"/>
      <c r="R60"/>
    </row>
    <row r="61" spans="1:18" s="27" customFormat="1" x14ac:dyDescent="0.35">
      <c r="A61" s="34">
        <v>23</v>
      </c>
      <c r="B61" s="34">
        <v>23</v>
      </c>
      <c r="C61" s="21">
        <v>53</v>
      </c>
      <c r="D61" s="35">
        <v>19740625</v>
      </c>
      <c r="E61" s="22">
        <v>260</v>
      </c>
      <c r="F61" s="23">
        <f t="shared" si="6"/>
        <v>135.17654218222197</v>
      </c>
      <c r="G61" s="23">
        <f t="shared" si="0"/>
        <v>124.82345781777803</v>
      </c>
      <c r="H61" s="23">
        <f t="shared" si="1"/>
        <v>45.787449842647369</v>
      </c>
      <c r="I61" s="23">
        <f t="shared" si="2"/>
        <v>79.036007975130673</v>
      </c>
      <c r="J61" s="23">
        <f t="shared" si="5"/>
        <v>41.779122914329278</v>
      </c>
      <c r="K61" s="24">
        <f t="shared" si="3"/>
        <v>37.256885060801395</v>
      </c>
      <c r="L61" s="32"/>
      <c r="M61"/>
      <c r="N61"/>
      <c r="O61"/>
      <c r="P61"/>
      <c r="Q61"/>
      <c r="R61"/>
    </row>
    <row r="62" spans="1:18" s="27" customFormat="1" x14ac:dyDescent="0.35">
      <c r="A62" s="34">
        <v>24</v>
      </c>
      <c r="B62" s="34">
        <v>24</v>
      </c>
      <c r="C62" s="21">
        <v>54</v>
      </c>
      <c r="D62" s="35">
        <v>19740626</v>
      </c>
      <c r="E62" s="22">
        <v>245</v>
      </c>
      <c r="F62" s="23">
        <f t="shared" si="6"/>
        <v>117.62301133857753</v>
      </c>
      <c r="G62" s="23">
        <f t="shared" si="0"/>
        <v>127.37698866142247</v>
      </c>
      <c r="H62" s="23">
        <f t="shared" si="1"/>
        <v>49.301474875362615</v>
      </c>
      <c r="I62" s="23">
        <f t="shared" si="2"/>
        <v>78.075513786059858</v>
      </c>
      <c r="J62" s="23">
        <f t="shared" si="5"/>
        <v>39.992651208862583</v>
      </c>
      <c r="K62" s="24">
        <f t="shared" si="3"/>
        <v>38.082862577197275</v>
      </c>
      <c r="L62" s="32"/>
      <c r="M62"/>
      <c r="N62"/>
      <c r="O62"/>
      <c r="P62"/>
      <c r="Q62"/>
      <c r="R62"/>
    </row>
    <row r="63" spans="1:18" s="27" customFormat="1" x14ac:dyDescent="0.35">
      <c r="A63" s="34">
        <v>25</v>
      </c>
      <c r="B63" s="34">
        <v>25</v>
      </c>
      <c r="C63" s="21">
        <v>55</v>
      </c>
      <c r="D63" s="35">
        <v>19740627</v>
      </c>
      <c r="E63" s="22">
        <v>256</v>
      </c>
      <c r="F63" s="23">
        <f t="shared" si="6"/>
        <v>126.16055111180597</v>
      </c>
      <c r="G63" s="23">
        <f t="shared" si="0"/>
        <v>129.83944888819403</v>
      </c>
      <c r="H63" s="23">
        <f t="shared" si="1"/>
        <v>52.795214795782101</v>
      </c>
      <c r="I63" s="23">
        <f t="shared" si="2"/>
        <v>77.044234092411926</v>
      </c>
      <c r="J63" s="23">
        <f t="shared" si="5"/>
        <v>38.17183128797388</v>
      </c>
      <c r="K63" s="24">
        <f t="shared" si="3"/>
        <v>38.872402804438046</v>
      </c>
      <c r="L63" s="32"/>
      <c r="M63"/>
      <c r="N63"/>
      <c r="O63"/>
      <c r="P63"/>
      <c r="Q63"/>
      <c r="R63"/>
    </row>
    <row r="64" spans="1:18" s="27" customFormat="1" x14ac:dyDescent="0.35">
      <c r="A64" s="34">
        <v>26</v>
      </c>
      <c r="B64" s="34">
        <v>26</v>
      </c>
      <c r="C64" s="21">
        <v>56</v>
      </c>
      <c r="D64" s="35">
        <v>19740628</v>
      </c>
      <c r="E64" s="22">
        <v>141</v>
      </c>
      <c r="F64" s="23">
        <f t="shared" si="6"/>
        <v>9.7873400895698524</v>
      </c>
      <c r="G64" s="23">
        <f t="shared" si="0"/>
        <v>131.21265991043015</v>
      </c>
      <c r="H64" s="23">
        <f t="shared" si="1"/>
        <v>55.259891538567203</v>
      </c>
      <c r="I64" s="23">
        <f t="shared" si="2"/>
        <v>75.952768371862945</v>
      </c>
      <c r="J64" s="23">
        <f t="shared" si="5"/>
        <v>36.327843598870913</v>
      </c>
      <c r="K64" s="24">
        <f t="shared" si="3"/>
        <v>39.624924772992031</v>
      </c>
      <c r="L64" s="32"/>
      <c r="M64"/>
      <c r="N64"/>
      <c r="O64"/>
      <c r="P64"/>
      <c r="Q64"/>
      <c r="R64"/>
    </row>
    <row r="65" spans="1:18" s="27" customFormat="1" x14ac:dyDescent="0.35">
      <c r="A65" s="34">
        <v>27</v>
      </c>
      <c r="B65" s="34">
        <v>27</v>
      </c>
      <c r="C65" s="21">
        <v>57</v>
      </c>
      <c r="D65" s="35">
        <v>19740629</v>
      </c>
      <c r="E65" s="22">
        <v>119</v>
      </c>
      <c r="F65" s="23">
        <f t="shared" si="6"/>
        <v>-12.188406712221546</v>
      </c>
      <c r="G65" s="23">
        <f t="shared" si="0"/>
        <v>119</v>
      </c>
      <c r="H65" s="23">
        <f t="shared" si="1"/>
        <v>44.05036553800138</v>
      </c>
      <c r="I65" s="23">
        <f t="shared" si="2"/>
        <v>74.949634461998613</v>
      </c>
      <c r="J65" s="23">
        <f t="shared" si="5"/>
        <v>34.608184156127805</v>
      </c>
      <c r="K65" s="24">
        <f t="shared" si="3"/>
        <v>40.341450305870808</v>
      </c>
      <c r="L65" s="32"/>
      <c r="M65"/>
      <c r="N65"/>
      <c r="O65"/>
      <c r="P65"/>
      <c r="Q65"/>
      <c r="R65"/>
    </row>
    <row r="66" spans="1:18" s="27" customFormat="1" x14ac:dyDescent="0.35">
      <c r="A66" s="34">
        <v>28</v>
      </c>
      <c r="B66" s="34">
        <v>28</v>
      </c>
      <c r="C66" s="21">
        <v>58</v>
      </c>
      <c r="D66" s="35">
        <v>19740630</v>
      </c>
      <c r="E66" s="22">
        <v>934</v>
      </c>
      <c r="F66" s="23">
        <f t="shared" si="6"/>
        <v>794.90536142202291</v>
      </c>
      <c r="G66" s="23">
        <f t="shared" si="0"/>
        <v>139.09463857797709</v>
      </c>
      <c r="H66" s="23">
        <f t="shared" si="1"/>
        <v>65.249038500202758</v>
      </c>
      <c r="I66" s="23">
        <f t="shared" si="2"/>
        <v>73.845600077774336</v>
      </c>
      <c r="J66" s="23">
        <f t="shared" si="5"/>
        <v>32.823026432623209</v>
      </c>
      <c r="K66" s="24">
        <f t="shared" si="3"/>
        <v>41.022573645151127</v>
      </c>
      <c r="L66" s="32"/>
      <c r="M66"/>
      <c r="N66"/>
      <c r="O66"/>
      <c r="P66"/>
      <c r="Q66"/>
      <c r="R66"/>
    </row>
    <row r="67" spans="1:18" s="27" customFormat="1" x14ac:dyDescent="0.35">
      <c r="A67" s="34">
        <v>29</v>
      </c>
      <c r="B67" s="34">
        <v>29</v>
      </c>
      <c r="C67" s="21">
        <v>59</v>
      </c>
      <c r="D67" s="35">
        <v>19740701</v>
      </c>
      <c r="E67" s="22">
        <v>382</v>
      </c>
      <c r="F67" s="23">
        <f t="shared" si="6"/>
        <v>232.52725419358239</v>
      </c>
      <c r="G67" s="23">
        <f t="shared" si="0"/>
        <v>149.47274580641761</v>
      </c>
      <c r="H67" s="23">
        <f t="shared" si="1"/>
        <v>77.064657812611088</v>
      </c>
      <c r="I67" s="23">
        <f t="shared" si="2"/>
        <v>72.408087993806518</v>
      </c>
      <c r="J67" s="23">
        <f t="shared" si="5"/>
        <v>30.743428940842602</v>
      </c>
      <c r="K67" s="24">
        <f t="shared" si="3"/>
        <v>41.664659052963913</v>
      </c>
      <c r="L67" s="32"/>
      <c r="M67"/>
      <c r="N67"/>
      <c r="O67"/>
      <c r="P67"/>
      <c r="Q67"/>
      <c r="R67"/>
    </row>
    <row r="68" spans="1:18" s="27" customFormat="1" x14ac:dyDescent="0.35">
      <c r="A68" s="34">
        <v>30</v>
      </c>
      <c r="B68" s="34">
        <v>30</v>
      </c>
      <c r="C68" s="21">
        <v>60</v>
      </c>
      <c r="D68" s="35">
        <v>19740702</v>
      </c>
      <c r="E68" s="22">
        <v>158</v>
      </c>
      <c r="F68" s="23">
        <f t="shared" si="6"/>
        <v>6.1167091097107402</v>
      </c>
      <c r="G68" s="23">
        <f t="shared" si="0"/>
        <v>151.88329089028926</v>
      </c>
      <c r="H68" s="23">
        <f t="shared" si="1"/>
        <v>81.072548413922476</v>
      </c>
      <c r="I68" s="23">
        <f t="shared" si="2"/>
        <v>70.810742476366784</v>
      </c>
      <c r="J68" s="23">
        <f t="shared" si="5"/>
        <v>28.547188299760411</v>
      </c>
      <c r="K68" s="24">
        <f t="shared" si="3"/>
        <v>42.263554176606377</v>
      </c>
      <c r="L68" s="32"/>
      <c r="M68"/>
      <c r="N68"/>
      <c r="O68"/>
      <c r="P68"/>
      <c r="Q68"/>
      <c r="R68"/>
    </row>
    <row r="69" spans="1:18" s="27" customFormat="1" x14ac:dyDescent="0.35">
      <c r="A69" s="34">
        <v>31</v>
      </c>
      <c r="B69" s="34">
        <v>31</v>
      </c>
      <c r="C69" s="21">
        <v>61</v>
      </c>
      <c r="D69" s="35">
        <v>19740703</v>
      </c>
      <c r="E69" s="22">
        <v>96</v>
      </c>
      <c r="F69" s="23">
        <f t="shared" si="6"/>
        <v>-55.385625072483478</v>
      </c>
      <c r="G69" s="23">
        <f t="shared" si="0"/>
        <v>96</v>
      </c>
      <c r="H69" s="23">
        <f t="shared" si="1"/>
        <v>26.273561665853176</v>
      </c>
      <c r="I69" s="23">
        <f t="shared" si="2"/>
        <v>69.72643833414682</v>
      </c>
      <c r="J69" s="23">
        <f t="shared" si="5"/>
        <v>26.902783432967436</v>
      </c>
      <c r="K69" s="24">
        <f t="shared" si="3"/>
        <v>42.823654901179381</v>
      </c>
      <c r="L69" s="32"/>
      <c r="M69"/>
      <c r="N69"/>
      <c r="O69"/>
      <c r="P69"/>
      <c r="Q69"/>
      <c r="R69"/>
    </row>
    <row r="70" spans="1:18" s="27" customFormat="1" x14ac:dyDescent="0.35">
      <c r="A70" s="34"/>
      <c r="B70" s="34">
        <v>32</v>
      </c>
      <c r="C70" s="21">
        <v>62</v>
      </c>
      <c r="D70" s="35">
        <v>19740704</v>
      </c>
      <c r="E70" s="22">
        <v>122</v>
      </c>
      <c r="F70" s="23">
        <f t="shared" si="6"/>
        <v>-28.537912571033811</v>
      </c>
      <c r="G70" s="23">
        <f t="shared" si="0"/>
        <v>122</v>
      </c>
      <c r="H70" s="23">
        <f t="shared" si="1"/>
        <v>53.075062924339974</v>
      </c>
      <c r="I70" s="23">
        <f t="shared" si="2"/>
        <v>68.924937075660026</v>
      </c>
      <c r="J70" s="23">
        <f t="shared" si="5"/>
        <v>25.571241518406158</v>
      </c>
      <c r="K70" s="24">
        <f t="shared" si="3"/>
        <v>43.353695557253872</v>
      </c>
      <c r="L70" s="32"/>
      <c r="M70"/>
      <c r="N70"/>
      <c r="O70"/>
      <c r="P70"/>
      <c r="Q70"/>
      <c r="R70"/>
    </row>
    <row r="71" spans="1:18" s="27" customFormat="1" x14ac:dyDescent="0.35">
      <c r="A71" s="34"/>
      <c r="B71" s="34">
        <v>33</v>
      </c>
      <c r="C71" s="21">
        <v>63</v>
      </c>
      <c r="D71" s="35">
        <v>19740705</v>
      </c>
      <c r="E71" s="22">
        <v>103</v>
      </c>
      <c r="F71" s="23">
        <f t="shared" si="6"/>
        <v>-46.777154319613132</v>
      </c>
      <c r="G71" s="23">
        <f t="shared" si="0"/>
        <v>103</v>
      </c>
      <c r="H71" s="23">
        <f t="shared" si="1"/>
        <v>34.964349922795897</v>
      </c>
      <c r="I71" s="23">
        <f t="shared" si="2"/>
        <v>68.03565007720411</v>
      </c>
      <c r="J71" s="23">
        <f t="shared" si="5"/>
        <v>24.179422559566678</v>
      </c>
      <c r="K71" s="24">
        <f t="shared" si="3"/>
        <v>43.856227517637436</v>
      </c>
      <c r="L71" s="32"/>
      <c r="M71"/>
      <c r="N71"/>
      <c r="O71"/>
      <c r="P71"/>
      <c r="Q71"/>
      <c r="R71"/>
    </row>
    <row r="72" spans="1:18" s="27" customFormat="1" x14ac:dyDescent="0.35">
      <c r="A72" s="34"/>
      <c r="B72" s="34">
        <v>34</v>
      </c>
      <c r="C72" s="21">
        <v>64</v>
      </c>
      <c r="D72" s="35">
        <v>19740706</v>
      </c>
      <c r="E72" s="22">
        <v>83</v>
      </c>
      <c r="F72" s="23">
        <f t="shared" si="6"/>
        <v>-65.641611233220871</v>
      </c>
      <c r="G72" s="23">
        <f t="shared" si="0"/>
        <v>83</v>
      </c>
      <c r="H72" s="23">
        <f t="shared" si="1"/>
        <v>15.473826451832547</v>
      </c>
      <c r="I72" s="23">
        <f t="shared" si="2"/>
        <v>67.526173548167449</v>
      </c>
      <c r="J72" s="23">
        <f t="shared" si="5"/>
        <v>23.191452344629049</v>
      </c>
      <c r="K72" s="24">
        <f t="shared" si="3"/>
        <v>44.3347212035384</v>
      </c>
      <c r="L72" s="32"/>
      <c r="M72"/>
      <c r="N72"/>
      <c r="O72"/>
      <c r="P72"/>
      <c r="Q72"/>
      <c r="R72"/>
    </row>
    <row r="73" spans="1:18" s="27" customFormat="1" x14ac:dyDescent="0.35">
      <c r="A73" s="34"/>
      <c r="B73" s="34">
        <v>35</v>
      </c>
      <c r="C73" s="21">
        <v>65</v>
      </c>
      <c r="D73" s="35">
        <v>19740707</v>
      </c>
      <c r="E73" s="22">
        <v>67</v>
      </c>
      <c r="F73" s="23">
        <f t="shared" si="6"/>
        <v>-80.168779008556456</v>
      </c>
      <c r="G73" s="23">
        <f t="shared" si="0"/>
        <v>67</v>
      </c>
      <c r="H73" s="23">
        <f t="shared" ref="H73:H133" si="7">a*H74+(1+a)*(G73-G74)/2</f>
        <v>-0.3736464777218913</v>
      </c>
      <c r="I73" s="23">
        <f t="shared" si="2"/>
        <v>67</v>
      </c>
      <c r="J73" s="23">
        <f t="shared" si="5"/>
        <v>22.206711485050693</v>
      </c>
      <c r="K73" s="24">
        <f t="shared" si="3"/>
        <v>44.79328851494931</v>
      </c>
      <c r="L73" s="32"/>
      <c r="M73"/>
      <c r="N73"/>
      <c r="O73"/>
      <c r="P73"/>
      <c r="Q73"/>
      <c r="R73"/>
    </row>
    <row r="74" spans="1:18" s="27" customFormat="1" x14ac:dyDescent="0.35">
      <c r="A74" s="34"/>
      <c r="B74" s="34">
        <v>36</v>
      </c>
      <c r="C74" s="21">
        <v>66</v>
      </c>
      <c r="D74" s="35">
        <v>19740708</v>
      </c>
      <c r="E74" s="22">
        <v>148</v>
      </c>
      <c r="F74" s="23">
        <f t="shared" ref="F74:F105" si="8">a*F73+(1+a)*(E74-E73)/2</f>
        <v>1.6245965716146742</v>
      </c>
      <c r="G74" s="23">
        <f t="shared" ref="G74:G135" si="9">IF(F74&gt;0,E74-F74,E74)</f>
        <v>146.37540342838531</v>
      </c>
      <c r="H74" s="23">
        <f t="shared" si="7"/>
        <v>79.804084608550582</v>
      </c>
      <c r="I74" s="23">
        <f t="shared" ref="I74:I135" si="10">IF(H74&gt;0,G74-H74,G74)</f>
        <v>66.57131881983473</v>
      </c>
      <c r="J74" s="23">
        <f t="shared" ref="J74:J135" si="11">a*J73+(1+a)*(I74-I73)/2</f>
        <v>21.338182886986061</v>
      </c>
      <c r="K74" s="24">
        <f t="shared" ref="K74:K135" si="12">IF(J74&gt;0,I74-J74,I74)</f>
        <v>45.233135932848668</v>
      </c>
      <c r="L74" s="32"/>
      <c r="M74"/>
      <c r="N74"/>
      <c r="O74"/>
      <c r="P74"/>
      <c r="Q74"/>
      <c r="R74"/>
    </row>
    <row r="75" spans="1:18" s="27" customFormat="1" x14ac:dyDescent="0.35">
      <c r="A75" s="34">
        <v>31</v>
      </c>
      <c r="B75" s="34">
        <v>37</v>
      </c>
      <c r="C75" s="21">
        <v>67</v>
      </c>
      <c r="D75" s="35">
        <v>19740709</v>
      </c>
      <c r="E75" s="22">
        <v>366</v>
      </c>
      <c r="F75" s="23">
        <f t="shared" si="8"/>
        <v>217.41210464018238</v>
      </c>
      <c r="G75" s="23">
        <f t="shared" si="9"/>
        <v>148.58789535981762</v>
      </c>
      <c r="H75" s="23">
        <f t="shared" si="7"/>
        <v>83.667807776192419</v>
      </c>
      <c r="I75" s="23">
        <f t="shared" si="10"/>
        <v>64.920087583625204</v>
      </c>
      <c r="J75" s="23">
        <f t="shared" si="11"/>
        <v>19.276700305398908</v>
      </c>
      <c r="K75" s="24">
        <f t="shared" si="12"/>
        <v>45.643387278226299</v>
      </c>
      <c r="L75" s="32"/>
      <c r="M75"/>
      <c r="N75"/>
      <c r="O75"/>
      <c r="P75"/>
      <c r="Q75"/>
      <c r="R75"/>
    </row>
    <row r="76" spans="1:18" s="27" customFormat="1" x14ac:dyDescent="0.35">
      <c r="A76" s="34">
        <v>30</v>
      </c>
      <c r="B76" s="34">
        <v>38</v>
      </c>
      <c r="C76" s="21">
        <v>68</v>
      </c>
      <c r="D76" s="35">
        <v>19740710</v>
      </c>
      <c r="E76" s="22">
        <v>161</v>
      </c>
      <c r="F76" s="23">
        <f t="shared" si="8"/>
        <v>10.113862547378744</v>
      </c>
      <c r="G76" s="23">
        <f t="shared" si="9"/>
        <v>150.88613745262126</v>
      </c>
      <c r="H76" s="23">
        <f t="shared" si="7"/>
        <v>87.697007600069412</v>
      </c>
      <c r="I76" s="23">
        <f t="shared" si="10"/>
        <v>63.189129852551844</v>
      </c>
      <c r="J76" s="23">
        <f t="shared" si="11"/>
        <v>17.177518145528303</v>
      </c>
      <c r="K76" s="24">
        <f t="shared" si="12"/>
        <v>46.01161170702354</v>
      </c>
      <c r="L76" s="32"/>
      <c r="M76" s="1"/>
    </row>
    <row r="77" spans="1:18" s="27" customFormat="1" x14ac:dyDescent="0.35">
      <c r="A77" s="34">
        <v>29</v>
      </c>
      <c r="B77" s="34">
        <v>39</v>
      </c>
      <c r="C77" s="21">
        <v>69</v>
      </c>
      <c r="D77" s="35">
        <v>19740711</v>
      </c>
      <c r="E77" s="22">
        <v>119</v>
      </c>
      <c r="F77" s="23">
        <f t="shared" si="8"/>
        <v>-31.668414703568828</v>
      </c>
      <c r="G77" s="23">
        <f t="shared" si="9"/>
        <v>119</v>
      </c>
      <c r="H77" s="23">
        <f t="shared" si="7"/>
        <v>57.275236246912627</v>
      </c>
      <c r="I77" s="23">
        <f t="shared" si="10"/>
        <v>61.724763753087373</v>
      </c>
      <c r="J77" s="23">
        <f t="shared" si="11"/>
        <v>15.384245344147912</v>
      </c>
      <c r="K77" s="24">
        <f t="shared" si="12"/>
        <v>46.34051840893946</v>
      </c>
      <c r="L77" s="32"/>
      <c r="M77" s="1"/>
    </row>
    <row r="78" spans="1:18" s="27" customFormat="1" x14ac:dyDescent="0.35">
      <c r="A78" s="34">
        <v>28</v>
      </c>
      <c r="B78" s="34">
        <v>40</v>
      </c>
      <c r="C78" s="21">
        <v>70</v>
      </c>
      <c r="D78" s="35">
        <v>19740712</v>
      </c>
      <c r="E78" s="22">
        <v>82</v>
      </c>
      <c r="F78" s="23">
        <f t="shared" si="8"/>
        <v>-67.66504640949745</v>
      </c>
      <c r="G78" s="23">
        <f t="shared" si="9"/>
        <v>82</v>
      </c>
      <c r="H78" s="23">
        <f t="shared" si="7"/>
        <v>21.06656759889043</v>
      </c>
      <c r="I78" s="23">
        <f t="shared" si="10"/>
        <v>60.93343240110957</v>
      </c>
      <c r="J78" s="23">
        <f t="shared" si="11"/>
        <v>14.293142398806928</v>
      </c>
      <c r="K78" s="24">
        <f t="shared" si="12"/>
        <v>46.640290002302642</v>
      </c>
      <c r="L78" s="32"/>
      <c r="M78" s="1"/>
    </row>
    <row r="79" spans="1:18" s="27" customFormat="1" x14ac:dyDescent="0.35">
      <c r="A79" s="34">
        <v>27</v>
      </c>
      <c r="B79" s="34">
        <v>41</v>
      </c>
      <c r="C79" s="21">
        <v>71</v>
      </c>
      <c r="D79" s="35">
        <v>19740713</v>
      </c>
      <c r="E79" s="22">
        <v>330</v>
      </c>
      <c r="F79" s="23">
        <f t="shared" si="8"/>
        <v>179.20825451869251</v>
      </c>
      <c r="G79" s="23">
        <f t="shared" si="9"/>
        <v>150.79174548130749</v>
      </c>
      <c r="H79" s="23">
        <f t="shared" si="7"/>
        <v>90.990199617739634</v>
      </c>
      <c r="I79" s="23">
        <f t="shared" si="10"/>
        <v>59.801545863567853</v>
      </c>
      <c r="J79" s="23">
        <f t="shared" si="11"/>
        <v>12.886711878664489</v>
      </c>
      <c r="K79" s="24">
        <f t="shared" si="12"/>
        <v>46.914833984903368</v>
      </c>
      <c r="L79" s="32"/>
      <c r="M79" s="1"/>
    </row>
    <row r="80" spans="1:18" s="27" customFormat="1" x14ac:dyDescent="0.35">
      <c r="A80" s="34">
        <v>26</v>
      </c>
      <c r="B80" s="34">
        <v>42</v>
      </c>
      <c r="C80" s="21">
        <v>72</v>
      </c>
      <c r="D80" s="35">
        <v>19740714</v>
      </c>
      <c r="E80" s="22">
        <v>294</v>
      </c>
      <c r="F80" s="23">
        <f t="shared" si="8"/>
        <v>139.98408942831867</v>
      </c>
      <c r="G80" s="23">
        <f t="shared" si="9"/>
        <v>154.01591057168133</v>
      </c>
      <c r="H80" s="23">
        <f t="shared" si="7"/>
        <v>96.104207201234431</v>
      </c>
      <c r="I80" s="23">
        <f t="shared" si="10"/>
        <v>57.911703370446901</v>
      </c>
      <c r="J80" s="23">
        <f t="shared" si="11"/>
        <v>10.758033572901457</v>
      </c>
      <c r="K80" s="24">
        <f t="shared" si="12"/>
        <v>47.153669797545447</v>
      </c>
      <c r="L80" s="32"/>
      <c r="M80" s="1"/>
    </row>
    <row r="81" spans="1:13" s="27" customFormat="1" x14ac:dyDescent="0.35">
      <c r="A81" s="34">
        <v>25</v>
      </c>
      <c r="B81" s="34">
        <v>43</v>
      </c>
      <c r="C81" s="21">
        <v>73</v>
      </c>
      <c r="D81" s="35">
        <v>19740715</v>
      </c>
      <c r="E81" s="22">
        <v>261</v>
      </c>
      <c r="F81" s="23">
        <f t="shared" si="8"/>
        <v>104.51440763975229</v>
      </c>
      <c r="G81" s="23">
        <f t="shared" si="9"/>
        <v>156.48559236024772</v>
      </c>
      <c r="H81" s="23">
        <f t="shared" si="7"/>
        <v>100.56040017542362</v>
      </c>
      <c r="I81" s="23">
        <f t="shared" si="10"/>
        <v>55.925192184824098</v>
      </c>
      <c r="J81" s="23">
        <f t="shared" si="11"/>
        <v>8.5762268276768534</v>
      </c>
      <c r="K81" s="24">
        <f t="shared" si="12"/>
        <v>47.348965357147243</v>
      </c>
      <c r="L81" s="32"/>
      <c r="M81" s="1"/>
    </row>
    <row r="82" spans="1:13" s="27" customFormat="1" x14ac:dyDescent="0.35">
      <c r="A82" s="34">
        <v>24</v>
      </c>
      <c r="B82" s="34">
        <v>44</v>
      </c>
      <c r="C82" s="21">
        <v>74</v>
      </c>
      <c r="D82" s="35">
        <v>19740716</v>
      </c>
      <c r="E82" s="22">
        <v>266</v>
      </c>
      <c r="F82" s="23">
        <f t="shared" si="8"/>
        <v>107.37411948695724</v>
      </c>
      <c r="G82" s="23">
        <f t="shared" si="9"/>
        <v>158.62588051304277</v>
      </c>
      <c r="H82" s="23">
        <f t="shared" si="7"/>
        <v>104.77478106805177</v>
      </c>
      <c r="I82" s="23">
        <f t="shared" si="10"/>
        <v>53.851099444991007</v>
      </c>
      <c r="J82" s="23">
        <f t="shared" si="11"/>
        <v>6.3513504786885555</v>
      </c>
      <c r="K82" s="24">
        <f t="shared" si="12"/>
        <v>47.499748966302448</v>
      </c>
      <c r="L82" s="32"/>
      <c r="M82" s="1"/>
    </row>
    <row r="83" spans="1:13" s="27" customFormat="1" x14ac:dyDescent="0.35">
      <c r="A83" s="34">
        <v>23</v>
      </c>
      <c r="B83" s="34">
        <v>45</v>
      </c>
      <c r="C83" s="21">
        <v>75</v>
      </c>
      <c r="D83" s="35">
        <v>19740717</v>
      </c>
      <c r="E83" s="22">
        <v>153</v>
      </c>
      <c r="F83" s="23">
        <f t="shared" si="8"/>
        <v>-6.6433629027819165</v>
      </c>
      <c r="G83" s="23">
        <f t="shared" si="9"/>
        <v>153</v>
      </c>
      <c r="H83" s="23">
        <f t="shared" si="7"/>
        <v>101.22975444912186</v>
      </c>
      <c r="I83" s="23">
        <f t="shared" si="10"/>
        <v>51.770245550878144</v>
      </c>
      <c r="J83" s="23">
        <f t="shared" si="11"/>
        <v>4.16427811394305</v>
      </c>
      <c r="K83" s="24">
        <f t="shared" si="12"/>
        <v>47.605967436935096</v>
      </c>
      <c r="L83" s="32"/>
      <c r="M83" s="1"/>
    </row>
    <row r="84" spans="1:13" s="27" customFormat="1" x14ac:dyDescent="0.35">
      <c r="A84" s="34">
        <v>22</v>
      </c>
      <c r="B84" s="34">
        <v>46</v>
      </c>
      <c r="C84" s="21">
        <v>76</v>
      </c>
      <c r="D84" s="35">
        <v>19740718</v>
      </c>
      <c r="E84" s="22">
        <v>247</v>
      </c>
      <c r="F84" s="23">
        <f t="shared" si="8"/>
        <v>86.549504355273726</v>
      </c>
      <c r="G84" s="23">
        <f t="shared" si="9"/>
        <v>160.45049564472629</v>
      </c>
      <c r="H84" s="23">
        <f t="shared" si="7"/>
        <v>110.82218891571519</v>
      </c>
      <c r="I84" s="23">
        <f t="shared" si="10"/>
        <v>49.628306729011101</v>
      </c>
      <c r="J84" s="23">
        <f t="shared" si="11"/>
        <v>1.9604731180158161</v>
      </c>
      <c r="K84" s="24">
        <f t="shared" si="12"/>
        <v>47.667833610995288</v>
      </c>
      <c r="L84" s="32"/>
      <c r="M84" s="1"/>
    </row>
    <row r="85" spans="1:13" s="27" customFormat="1" x14ac:dyDescent="0.35">
      <c r="A85" s="34">
        <v>21</v>
      </c>
      <c r="B85" s="34">
        <v>47</v>
      </c>
      <c r="C85" s="21">
        <v>77</v>
      </c>
      <c r="D85" s="35">
        <v>19740719</v>
      </c>
      <c r="E85" s="22">
        <v>703</v>
      </c>
      <c r="F85" s="23">
        <f t="shared" si="8"/>
        <v>536.25851426816826</v>
      </c>
      <c r="G85" s="23">
        <f t="shared" si="9"/>
        <v>166.74148573183174</v>
      </c>
      <c r="H85" s="23">
        <f t="shared" si="7"/>
        <v>119.4390501040302</v>
      </c>
      <c r="I85" s="23">
        <f t="shared" si="10"/>
        <v>47.302435627801543</v>
      </c>
      <c r="J85" s="23">
        <f t="shared" si="11"/>
        <v>-0.38134873454196194</v>
      </c>
      <c r="K85" s="24">
        <f t="shared" si="12"/>
        <v>47.302435627801543</v>
      </c>
      <c r="L85" s="32"/>
      <c r="M85" s="1"/>
    </row>
    <row r="86" spans="1:13" s="27" customFormat="1" x14ac:dyDescent="0.35">
      <c r="A86" s="34">
        <v>20</v>
      </c>
      <c r="B86" s="34">
        <v>48</v>
      </c>
      <c r="C86" s="21">
        <v>78</v>
      </c>
      <c r="D86" s="35">
        <v>19740720</v>
      </c>
      <c r="E86" s="22">
        <v>498</v>
      </c>
      <c r="F86" s="23">
        <f t="shared" si="8"/>
        <v>322.58334398280493</v>
      </c>
      <c r="G86" s="23">
        <f t="shared" si="9"/>
        <v>175.41665601719507</v>
      </c>
      <c r="H86" s="23">
        <f t="shared" si="7"/>
        <v>130.64027416993866</v>
      </c>
      <c r="I86" s="23">
        <f t="shared" si="10"/>
        <v>44.776381847256403</v>
      </c>
      <c r="J86" s="23">
        <f t="shared" si="11"/>
        <v>-2.8745150025908117</v>
      </c>
      <c r="K86" s="24">
        <f t="shared" si="12"/>
        <v>44.776381847256403</v>
      </c>
      <c r="L86" s="32"/>
      <c r="M86" s="1"/>
    </row>
    <row r="87" spans="1:13" s="27" customFormat="1" x14ac:dyDescent="0.35">
      <c r="A87" s="34">
        <v>19</v>
      </c>
      <c r="B87" s="34">
        <v>49</v>
      </c>
      <c r="C87" s="21">
        <v>79</v>
      </c>
      <c r="D87" s="35">
        <v>19740721</v>
      </c>
      <c r="E87" s="22">
        <v>286</v>
      </c>
      <c r="F87" s="23">
        <f t="shared" si="8"/>
        <v>106.25167710314884</v>
      </c>
      <c r="G87" s="23">
        <f t="shared" si="9"/>
        <v>179.74832289685116</v>
      </c>
      <c r="H87" s="23">
        <f t="shared" si="7"/>
        <v>137.68226977632469</v>
      </c>
      <c r="I87" s="23">
        <f t="shared" si="10"/>
        <v>42.066053120526476</v>
      </c>
      <c r="J87" s="23">
        <f t="shared" si="11"/>
        <v>-5.5002501420016223</v>
      </c>
      <c r="K87" s="24">
        <f t="shared" si="12"/>
        <v>42.066053120526476</v>
      </c>
      <c r="L87" s="32"/>
      <c r="M87" s="1"/>
    </row>
    <row r="88" spans="1:13" s="27" customFormat="1" x14ac:dyDescent="0.35">
      <c r="A88" s="34">
        <v>18</v>
      </c>
      <c r="B88" s="34">
        <v>50</v>
      </c>
      <c r="C88" s="21">
        <v>80</v>
      </c>
      <c r="D88" s="35">
        <v>19740722</v>
      </c>
      <c r="E88" s="22">
        <v>163</v>
      </c>
      <c r="F88" s="23">
        <f t="shared" si="8"/>
        <v>-17.64335643891414</v>
      </c>
      <c r="G88" s="23">
        <f t="shared" si="9"/>
        <v>163</v>
      </c>
      <c r="H88" s="23">
        <f t="shared" si="7"/>
        <v>123.57288786575718</v>
      </c>
      <c r="I88" s="23">
        <f t="shared" si="10"/>
        <v>39.427112134242819</v>
      </c>
      <c r="J88" s="23">
        <f t="shared" si="11"/>
        <v>-8.0027967155824111</v>
      </c>
      <c r="K88" s="24">
        <f t="shared" si="12"/>
        <v>39.427112134242819</v>
      </c>
      <c r="L88" s="32"/>
      <c r="M88" s="1"/>
    </row>
    <row r="89" spans="1:13" s="27" customFormat="1" x14ac:dyDescent="0.35">
      <c r="A89" s="34">
        <v>17</v>
      </c>
      <c r="B89" s="34">
        <v>51</v>
      </c>
      <c r="C89" s="21">
        <v>81</v>
      </c>
      <c r="D89" s="35">
        <v>19740723</v>
      </c>
      <c r="E89" s="22">
        <v>124</v>
      </c>
      <c r="F89" s="23">
        <f t="shared" si="8"/>
        <v>-55.900489310135853</v>
      </c>
      <c r="G89" s="23">
        <f t="shared" si="9"/>
        <v>124</v>
      </c>
      <c r="H89" s="23">
        <f t="shared" si="7"/>
        <v>86.696824352813451</v>
      </c>
      <c r="I89" s="23">
        <f t="shared" si="10"/>
        <v>37.303175647186549</v>
      </c>
      <c r="J89" s="23">
        <f t="shared" si="11"/>
        <v>-9.9454379034564688</v>
      </c>
      <c r="K89" s="24">
        <f t="shared" si="12"/>
        <v>37.303175647186549</v>
      </c>
      <c r="L89" s="32"/>
      <c r="M89" s="1"/>
    </row>
    <row r="90" spans="1:13" s="27" customFormat="1" x14ac:dyDescent="0.35">
      <c r="A90" s="34">
        <v>16</v>
      </c>
      <c r="B90" s="34">
        <v>52</v>
      </c>
      <c r="C90" s="21">
        <v>82</v>
      </c>
      <c r="D90" s="35">
        <v>19740724</v>
      </c>
      <c r="E90" s="22">
        <v>85</v>
      </c>
      <c r="F90" s="23">
        <f t="shared" si="8"/>
        <v>-93.392479523933133</v>
      </c>
      <c r="G90" s="23">
        <f t="shared" si="9"/>
        <v>85</v>
      </c>
      <c r="H90" s="23">
        <f t="shared" si="7"/>
        <v>49.068188115115774</v>
      </c>
      <c r="I90" s="23">
        <f t="shared" si="10"/>
        <v>35.931811884884226</v>
      </c>
      <c r="J90" s="23">
        <f t="shared" si="11"/>
        <v>-11.10417927006664</v>
      </c>
      <c r="K90" s="24">
        <f t="shared" si="12"/>
        <v>35.931811884884226</v>
      </c>
      <c r="L90" s="32"/>
      <c r="M90" s="1"/>
    </row>
    <row r="91" spans="1:13" s="27" customFormat="1" x14ac:dyDescent="0.35">
      <c r="A91" s="34">
        <v>15</v>
      </c>
      <c r="B91" s="34">
        <v>53</v>
      </c>
      <c r="C91" s="21">
        <v>83</v>
      </c>
      <c r="D91" s="35">
        <v>19740725</v>
      </c>
      <c r="E91" s="22">
        <v>94</v>
      </c>
      <c r="F91" s="23">
        <f t="shared" si="8"/>
        <v>-82.614629933454466</v>
      </c>
      <c r="G91" s="23">
        <f t="shared" si="9"/>
        <v>94</v>
      </c>
      <c r="H91" s="23">
        <f t="shared" si="7"/>
        <v>59.161416443995684</v>
      </c>
      <c r="I91" s="23">
        <f t="shared" si="10"/>
        <v>34.838583556004316</v>
      </c>
      <c r="J91" s="23">
        <f t="shared" si="11"/>
        <v>-11.964391730256418</v>
      </c>
      <c r="K91" s="24">
        <f t="shared" si="12"/>
        <v>34.838583556004316</v>
      </c>
      <c r="L91" s="32"/>
      <c r="M91" s="1"/>
    </row>
    <row r="92" spans="1:13" s="27" customFormat="1" x14ac:dyDescent="0.35">
      <c r="A92" s="34">
        <v>14</v>
      </c>
      <c r="B92" s="34">
        <v>54</v>
      </c>
      <c r="C92" s="21">
        <v>84</v>
      </c>
      <c r="D92" s="35">
        <v>19740726</v>
      </c>
      <c r="E92" s="22">
        <v>81</v>
      </c>
      <c r="F92" s="23">
        <f t="shared" si="8"/>
        <v>-93.832337334785379</v>
      </c>
      <c r="G92" s="23">
        <f t="shared" si="9"/>
        <v>81</v>
      </c>
      <c r="H92" s="23">
        <f t="shared" si="7"/>
        <v>47.236139228567026</v>
      </c>
      <c r="I92" s="23">
        <f t="shared" si="10"/>
        <v>33.763860771432974</v>
      </c>
      <c r="J92" s="23">
        <f t="shared" si="11"/>
        <v>-12.789079452376917</v>
      </c>
      <c r="K92" s="24">
        <f t="shared" si="12"/>
        <v>33.763860771432974</v>
      </c>
      <c r="L92" s="32"/>
      <c r="M92" s="1"/>
    </row>
    <row r="93" spans="1:13" s="27" customFormat="1" x14ac:dyDescent="0.35">
      <c r="A93" s="34">
        <v>13</v>
      </c>
      <c r="B93" s="34">
        <v>55</v>
      </c>
      <c r="C93" s="21">
        <v>85</v>
      </c>
      <c r="D93" s="35">
        <v>19740727</v>
      </c>
      <c r="E93" s="22">
        <v>62</v>
      </c>
      <c r="F93" s="23">
        <f t="shared" si="8"/>
        <v>-110.76569058808967</v>
      </c>
      <c r="G93" s="23">
        <f t="shared" si="9"/>
        <v>62</v>
      </c>
      <c r="H93" s="23">
        <f t="shared" si="7"/>
        <v>29.006264518945947</v>
      </c>
      <c r="I93" s="23">
        <f t="shared" si="10"/>
        <v>32.993735481054053</v>
      </c>
      <c r="J93" s="23">
        <f t="shared" si="11"/>
        <v>-13.29572190080451</v>
      </c>
      <c r="K93" s="24">
        <f t="shared" si="12"/>
        <v>32.993735481054053</v>
      </c>
      <c r="L93" s="32"/>
      <c r="M93" s="1"/>
    </row>
    <row r="94" spans="1:13" s="27" customFormat="1" x14ac:dyDescent="0.35">
      <c r="A94" s="34">
        <v>12</v>
      </c>
      <c r="B94" s="34">
        <v>56</v>
      </c>
      <c r="C94" s="21">
        <v>86</v>
      </c>
      <c r="D94" s="35">
        <v>19740728</v>
      </c>
      <c r="E94" s="22">
        <v>47</v>
      </c>
      <c r="F94" s="23">
        <f t="shared" si="8"/>
        <v>-123.40037677632787</v>
      </c>
      <c r="G94" s="23">
        <f t="shared" si="9"/>
        <v>47</v>
      </c>
      <c r="H94" s="23">
        <f t="shared" si="7"/>
        <v>14.445167876475459</v>
      </c>
      <c r="I94" s="23">
        <f t="shared" si="10"/>
        <v>32.554832123524541</v>
      </c>
      <c r="J94" s="23">
        <f t="shared" si="11"/>
        <v>-13.464321786742637</v>
      </c>
      <c r="K94" s="24">
        <f t="shared" si="12"/>
        <v>32.554832123524541</v>
      </c>
      <c r="L94" s="32"/>
      <c r="M94" s="1"/>
    </row>
    <row r="95" spans="1:13" s="27" customFormat="1" x14ac:dyDescent="0.35">
      <c r="A95" s="34">
        <v>11</v>
      </c>
      <c r="B95" s="34">
        <v>57</v>
      </c>
      <c r="C95" s="21">
        <v>87</v>
      </c>
      <c r="D95" s="35">
        <v>19740729</v>
      </c>
      <c r="E95" s="22">
        <v>37</v>
      </c>
      <c r="F95" s="23">
        <f t="shared" si="8"/>
        <v>-130.83236924080131</v>
      </c>
      <c r="G95" s="23">
        <f t="shared" si="9"/>
        <v>37</v>
      </c>
      <c r="H95" s="23">
        <f t="shared" si="7"/>
        <v>4.6379264045667936</v>
      </c>
      <c r="I95" s="23">
        <f t="shared" si="10"/>
        <v>32.362073595433209</v>
      </c>
      <c r="J95" s="23">
        <f t="shared" si="11"/>
        <v>-13.385866293818202</v>
      </c>
      <c r="K95" s="24">
        <f t="shared" si="12"/>
        <v>32.362073595433209</v>
      </c>
      <c r="L95" s="32"/>
      <c r="M95" s="1"/>
    </row>
    <row r="96" spans="1:13" s="27" customFormat="1" x14ac:dyDescent="0.35">
      <c r="A96" s="34">
        <v>10</v>
      </c>
      <c r="B96" s="34">
        <v>58</v>
      </c>
      <c r="C96" s="21">
        <v>88</v>
      </c>
      <c r="D96" s="35">
        <v>19740730</v>
      </c>
      <c r="E96" s="22">
        <v>30</v>
      </c>
      <c r="F96" s="23">
        <f t="shared" si="8"/>
        <v>-135.1457218559853</v>
      </c>
      <c r="G96" s="23">
        <f t="shared" si="9"/>
        <v>30</v>
      </c>
      <c r="H96" s="23">
        <f t="shared" si="7"/>
        <v>-2.338850607584904</v>
      </c>
      <c r="I96" s="23">
        <f t="shared" si="10"/>
        <v>30</v>
      </c>
      <c r="J96" s="23">
        <f t="shared" si="11"/>
        <v>-15.456601827420716</v>
      </c>
      <c r="K96" s="24">
        <f t="shared" si="12"/>
        <v>30</v>
      </c>
      <c r="L96" s="32"/>
      <c r="M96" s="1"/>
    </row>
    <row r="97" spans="1:13" s="27" customFormat="1" x14ac:dyDescent="0.35">
      <c r="A97" s="34">
        <v>9</v>
      </c>
      <c r="B97" s="34">
        <v>59</v>
      </c>
      <c r="C97" s="21">
        <v>89</v>
      </c>
      <c r="D97" s="35">
        <v>19740731</v>
      </c>
      <c r="E97" s="22">
        <v>26</v>
      </c>
      <c r="F97" s="23">
        <f t="shared" si="8"/>
        <v>-136.40280741886559</v>
      </c>
      <c r="G97" s="23">
        <f t="shared" si="9"/>
        <v>26</v>
      </c>
      <c r="H97" s="23">
        <f t="shared" si="7"/>
        <v>-6.4273985791682691</v>
      </c>
      <c r="I97" s="23">
        <f t="shared" si="10"/>
        <v>26</v>
      </c>
      <c r="J97" s="23">
        <f t="shared" si="11"/>
        <v>-19.107469790872301</v>
      </c>
      <c r="K97" s="24">
        <f t="shared" si="12"/>
        <v>26</v>
      </c>
      <c r="L97" s="32"/>
      <c r="M97" s="1"/>
    </row>
    <row r="98" spans="1:13" s="27" customFormat="1" x14ac:dyDescent="0.35">
      <c r="A98" s="34">
        <v>8</v>
      </c>
      <c r="B98" s="34">
        <v>60</v>
      </c>
      <c r="C98" s="21">
        <v>90</v>
      </c>
      <c r="D98" s="35">
        <v>19740801</v>
      </c>
      <c r="E98" s="22">
        <v>24</v>
      </c>
      <c r="F98" s="23">
        <f t="shared" si="8"/>
        <v>-135.65475127048828</v>
      </c>
      <c r="G98" s="23">
        <f t="shared" si="9"/>
        <v>24</v>
      </c>
      <c r="H98" s="23">
        <f t="shared" si="7"/>
        <v>-8.5789781420084381</v>
      </c>
      <c r="I98" s="23">
        <f t="shared" si="10"/>
        <v>24</v>
      </c>
      <c r="J98" s="23">
        <f t="shared" si="11"/>
        <v>-20.705320395054855</v>
      </c>
      <c r="K98" s="24">
        <f t="shared" si="12"/>
        <v>24</v>
      </c>
      <c r="L98" s="32"/>
      <c r="M98" s="1"/>
    </row>
    <row r="99" spans="1:13" s="27" customFormat="1" x14ac:dyDescent="0.35">
      <c r="A99" s="34">
        <v>7</v>
      </c>
      <c r="B99" s="34">
        <v>61</v>
      </c>
      <c r="C99" s="21">
        <v>91</v>
      </c>
      <c r="D99" s="35">
        <v>19740802</v>
      </c>
      <c r="E99" s="22">
        <v>24</v>
      </c>
      <c r="F99" s="23">
        <f t="shared" si="8"/>
        <v>-132.94165624507852</v>
      </c>
      <c r="G99" s="23">
        <f t="shared" si="9"/>
        <v>24</v>
      </c>
      <c r="H99" s="23">
        <f t="shared" si="7"/>
        <v>-8.7540593285800394</v>
      </c>
      <c r="I99" s="23">
        <f t="shared" si="10"/>
        <v>24</v>
      </c>
      <c r="J99" s="23">
        <f t="shared" si="11"/>
        <v>-20.291213987153757</v>
      </c>
      <c r="K99" s="24">
        <f t="shared" si="12"/>
        <v>24</v>
      </c>
      <c r="L99" s="32"/>
      <c r="M99" s="1"/>
    </row>
    <row r="100" spans="1:13" s="27" customFormat="1" x14ac:dyDescent="0.35">
      <c r="A100" s="34">
        <v>6</v>
      </c>
      <c r="B100" s="34">
        <v>62</v>
      </c>
      <c r="C100" s="21">
        <v>92</v>
      </c>
      <c r="D100" s="35">
        <v>19740803</v>
      </c>
      <c r="E100" s="22">
        <v>22</v>
      </c>
      <c r="F100" s="23">
        <f t="shared" si="8"/>
        <v>-132.26282312017693</v>
      </c>
      <c r="G100" s="23">
        <f t="shared" si="9"/>
        <v>22</v>
      </c>
      <c r="H100" s="23">
        <f t="shared" si="7"/>
        <v>-10.953121763857183</v>
      </c>
      <c r="I100" s="23">
        <f t="shared" si="10"/>
        <v>22</v>
      </c>
      <c r="J100" s="23">
        <f t="shared" si="11"/>
        <v>-21.865389707410682</v>
      </c>
      <c r="K100" s="24">
        <f t="shared" si="12"/>
        <v>22</v>
      </c>
      <c r="L100" s="32"/>
      <c r="M100" s="1"/>
    </row>
    <row r="101" spans="1:13" s="27" customFormat="1" x14ac:dyDescent="0.35">
      <c r="A101" s="34">
        <v>5</v>
      </c>
      <c r="B101" s="34">
        <v>63</v>
      </c>
      <c r="C101" s="21">
        <v>93</v>
      </c>
      <c r="D101" s="35">
        <v>19740804</v>
      </c>
      <c r="E101" s="22">
        <v>21</v>
      </c>
      <c r="F101" s="23">
        <f t="shared" si="8"/>
        <v>-130.60756665777339</v>
      </c>
      <c r="G101" s="23">
        <f t="shared" si="9"/>
        <v>21</v>
      </c>
      <c r="H101" s="23">
        <f t="shared" si="7"/>
        <v>-12.186858942711412</v>
      </c>
      <c r="I101" s="23">
        <f t="shared" si="10"/>
        <v>21</v>
      </c>
      <c r="J101" s="23">
        <f t="shared" si="11"/>
        <v>-22.418081913262466</v>
      </c>
      <c r="K101" s="24">
        <f t="shared" si="12"/>
        <v>21</v>
      </c>
      <c r="L101" s="32"/>
      <c r="M101" s="1"/>
    </row>
    <row r="102" spans="1:13" s="27" customFormat="1" x14ac:dyDescent="0.35">
      <c r="A102" s="34">
        <v>4</v>
      </c>
      <c r="B102" s="34">
        <v>64</v>
      </c>
      <c r="C102" s="21">
        <v>94</v>
      </c>
      <c r="D102" s="35">
        <v>19740805</v>
      </c>
      <c r="E102" s="22">
        <v>20</v>
      </c>
      <c r="F102" s="23">
        <f t="shared" si="8"/>
        <v>-128.98541532461792</v>
      </c>
      <c r="G102" s="23">
        <f t="shared" si="9"/>
        <v>20</v>
      </c>
      <c r="H102" s="23">
        <f t="shared" si="7"/>
        <v>-13.445774431338176</v>
      </c>
      <c r="I102" s="23">
        <f t="shared" si="10"/>
        <v>20</v>
      </c>
      <c r="J102" s="23">
        <f t="shared" si="11"/>
        <v>-22.959720274997213</v>
      </c>
      <c r="K102" s="24">
        <f t="shared" si="12"/>
        <v>20</v>
      </c>
      <c r="L102" s="32"/>
      <c r="M102" s="1"/>
    </row>
    <row r="103" spans="1:13" s="27" customFormat="1" x14ac:dyDescent="0.35">
      <c r="A103" s="34">
        <v>3</v>
      </c>
      <c r="B103" s="34">
        <v>65</v>
      </c>
      <c r="C103" s="21">
        <v>95</v>
      </c>
      <c r="D103" s="35">
        <v>19740806</v>
      </c>
      <c r="E103" s="22">
        <v>19</v>
      </c>
      <c r="F103" s="23">
        <f t="shared" si="8"/>
        <v>-127.39570701812555</v>
      </c>
      <c r="G103" s="23">
        <f t="shared" si="9"/>
        <v>19</v>
      </c>
      <c r="H103" s="23">
        <f t="shared" si="7"/>
        <v>-14.730382072794058</v>
      </c>
      <c r="I103" s="23">
        <f t="shared" si="10"/>
        <v>19</v>
      </c>
      <c r="J103" s="23">
        <f t="shared" si="11"/>
        <v>-23.490525869497269</v>
      </c>
      <c r="K103" s="24">
        <f t="shared" si="12"/>
        <v>19</v>
      </c>
      <c r="L103" s="32"/>
      <c r="M103" s="1"/>
    </row>
    <row r="104" spans="1:13" s="27" customFormat="1" x14ac:dyDescent="0.35">
      <c r="A104" s="34">
        <v>2</v>
      </c>
      <c r="B104" s="34">
        <v>66</v>
      </c>
      <c r="C104" s="21">
        <v>96</v>
      </c>
      <c r="D104" s="35">
        <v>19740807</v>
      </c>
      <c r="E104" s="22">
        <v>18</v>
      </c>
      <c r="F104" s="23">
        <f t="shared" si="8"/>
        <v>-125.83779287776304</v>
      </c>
      <c r="G104" s="23">
        <f t="shared" si="9"/>
        <v>18</v>
      </c>
      <c r="H104" s="23">
        <f t="shared" si="7"/>
        <v>-16.041206196728631</v>
      </c>
      <c r="I104" s="23">
        <f t="shared" si="10"/>
        <v>18</v>
      </c>
      <c r="J104" s="23">
        <f t="shared" si="11"/>
        <v>-24.010715352107322</v>
      </c>
      <c r="K104" s="24">
        <f t="shared" si="12"/>
        <v>18</v>
      </c>
      <c r="L104" s="32"/>
      <c r="M104" s="1"/>
    </row>
    <row r="105" spans="1:13" x14ac:dyDescent="0.35">
      <c r="A105" s="28">
        <v>1</v>
      </c>
      <c r="B105" s="28">
        <v>67</v>
      </c>
      <c r="C105" s="29">
        <v>97</v>
      </c>
      <c r="D105" s="30">
        <v>19740808</v>
      </c>
      <c r="E105" s="30">
        <v>18</v>
      </c>
      <c r="F105" s="31">
        <f t="shared" si="8"/>
        <v>-123.32103702020777</v>
      </c>
      <c r="G105" s="31">
        <f t="shared" si="9"/>
        <v>18</v>
      </c>
      <c r="H105" s="31">
        <f t="shared" si="7"/>
        <v>-16.368577751763908</v>
      </c>
      <c r="I105" s="31">
        <f t="shared" si="10"/>
        <v>18</v>
      </c>
      <c r="J105" s="31">
        <f t="shared" si="11"/>
        <v>-23.530501045065176</v>
      </c>
      <c r="K105" s="31">
        <f t="shared" si="12"/>
        <v>18</v>
      </c>
      <c r="L105" s="37"/>
      <c r="M105" s="1"/>
    </row>
    <row r="106" spans="1:13" x14ac:dyDescent="0.35">
      <c r="A106" s="21">
        <v>2</v>
      </c>
      <c r="B106" s="21">
        <v>66</v>
      </c>
      <c r="C106" s="21">
        <v>98</v>
      </c>
      <c r="D106" s="38"/>
      <c r="E106" s="22">
        <v>18</v>
      </c>
      <c r="F106" s="23">
        <f t="shared" ref="F106:F135" si="13">a*F105+(1+a)*(E106-E105)/2</f>
        <v>-120.85461627980361</v>
      </c>
      <c r="G106" s="23">
        <f t="shared" si="9"/>
        <v>18</v>
      </c>
      <c r="H106" s="23">
        <f t="shared" si="7"/>
        <v>-16.702630358942763</v>
      </c>
      <c r="I106" s="23">
        <f t="shared" si="10"/>
        <v>18</v>
      </c>
      <c r="J106" s="23">
        <f t="shared" si="11"/>
        <v>-23.059891024163871</v>
      </c>
      <c r="K106" s="24">
        <f t="shared" si="12"/>
        <v>18</v>
      </c>
      <c r="L106" s="32"/>
    </row>
    <row r="107" spans="1:13" x14ac:dyDescent="0.35">
      <c r="A107" s="21">
        <v>3</v>
      </c>
      <c r="B107" s="21">
        <v>65</v>
      </c>
      <c r="C107" s="21">
        <v>99</v>
      </c>
      <c r="D107" s="38"/>
      <c r="E107" s="22">
        <v>19</v>
      </c>
      <c r="F107" s="23">
        <f t="shared" si="13"/>
        <v>-117.44752395420754</v>
      </c>
      <c r="G107" s="23">
        <f t="shared" si="9"/>
        <v>19</v>
      </c>
      <c r="H107" s="23">
        <f t="shared" si="7"/>
        <v>-16.033296284635473</v>
      </c>
      <c r="I107" s="23">
        <f t="shared" si="10"/>
        <v>19</v>
      </c>
      <c r="J107" s="23">
        <f t="shared" si="11"/>
        <v>-21.608693203680595</v>
      </c>
      <c r="K107" s="24">
        <f t="shared" si="12"/>
        <v>19</v>
      </c>
      <c r="L107" s="39"/>
    </row>
    <row r="108" spans="1:13" x14ac:dyDescent="0.35">
      <c r="A108" s="21">
        <v>4</v>
      </c>
      <c r="B108" s="21">
        <v>64</v>
      </c>
      <c r="C108" s="21">
        <v>100</v>
      </c>
      <c r="D108" s="38"/>
      <c r="E108" s="22">
        <v>20</v>
      </c>
      <c r="F108" s="23">
        <f t="shared" si="13"/>
        <v>-114.10857347512339</v>
      </c>
      <c r="G108" s="23">
        <f t="shared" si="9"/>
        <v>20</v>
      </c>
      <c r="H108" s="23">
        <f t="shared" si="7"/>
        <v>-15.350302331260686</v>
      </c>
      <c r="I108" s="23">
        <f t="shared" si="10"/>
        <v>20</v>
      </c>
      <c r="J108" s="23">
        <f t="shared" si="11"/>
        <v>-20.186519339606985</v>
      </c>
      <c r="K108" s="24">
        <f t="shared" si="12"/>
        <v>20</v>
      </c>
      <c r="M108" s="40"/>
    </row>
    <row r="109" spans="1:13" x14ac:dyDescent="0.35">
      <c r="A109" s="21">
        <v>5</v>
      </c>
      <c r="B109" s="21">
        <v>63</v>
      </c>
      <c r="C109" s="21">
        <v>101</v>
      </c>
      <c r="D109" s="38"/>
      <c r="E109" s="22">
        <v>21</v>
      </c>
      <c r="F109" s="23">
        <f t="shared" si="13"/>
        <v>-110.83640200562093</v>
      </c>
      <c r="G109" s="23">
        <f t="shared" si="9"/>
        <v>21</v>
      </c>
      <c r="H109" s="23">
        <f t="shared" si="7"/>
        <v>-14.65336972577621</v>
      </c>
      <c r="I109" s="23">
        <f t="shared" si="10"/>
        <v>21</v>
      </c>
      <c r="J109" s="23">
        <f t="shared" si="11"/>
        <v>-18.792788952814846</v>
      </c>
      <c r="K109" s="24">
        <f t="shared" si="12"/>
        <v>21</v>
      </c>
    </row>
    <row r="110" spans="1:13" x14ac:dyDescent="0.35">
      <c r="A110" s="21">
        <v>6</v>
      </c>
      <c r="B110" s="21">
        <v>62</v>
      </c>
      <c r="C110" s="21">
        <v>102</v>
      </c>
      <c r="D110" s="38"/>
      <c r="E110" s="22">
        <v>22</v>
      </c>
      <c r="F110" s="23">
        <f t="shared" si="13"/>
        <v>-107.62967396550852</v>
      </c>
      <c r="G110" s="23">
        <f t="shared" si="9"/>
        <v>22</v>
      </c>
      <c r="H110" s="23">
        <f t="shared" si="7"/>
        <v>-13.942214005894092</v>
      </c>
      <c r="I110" s="23">
        <f t="shared" si="10"/>
        <v>22</v>
      </c>
      <c r="J110" s="23">
        <f t="shared" si="11"/>
        <v>-17.426933173758549</v>
      </c>
      <c r="K110" s="24">
        <f t="shared" si="12"/>
        <v>22</v>
      </c>
    </row>
    <row r="111" spans="1:13" x14ac:dyDescent="0.35">
      <c r="A111" s="21">
        <v>7</v>
      </c>
      <c r="B111" s="21">
        <v>61</v>
      </c>
      <c r="C111" s="21">
        <v>103</v>
      </c>
      <c r="D111" s="38"/>
      <c r="E111" s="22">
        <v>24</v>
      </c>
      <c r="F111" s="23">
        <f t="shared" si="13"/>
        <v>-103.49708048619834</v>
      </c>
      <c r="G111" s="23">
        <f t="shared" si="9"/>
        <v>24</v>
      </c>
      <c r="H111" s="23">
        <f t="shared" si="7"/>
        <v>-12.206340822340911</v>
      </c>
      <c r="I111" s="23">
        <f t="shared" si="10"/>
        <v>24</v>
      </c>
      <c r="J111" s="23">
        <f t="shared" si="11"/>
        <v>-15.098394510283377</v>
      </c>
      <c r="K111" s="24">
        <f t="shared" si="12"/>
        <v>24</v>
      </c>
    </row>
    <row r="112" spans="1:13" x14ac:dyDescent="0.35">
      <c r="A112" s="21">
        <v>8</v>
      </c>
      <c r="B112" s="21">
        <v>60</v>
      </c>
      <c r="C112" s="21">
        <v>104</v>
      </c>
      <c r="D112" s="38"/>
      <c r="E112" s="22">
        <v>24</v>
      </c>
      <c r="F112" s="23">
        <f t="shared" si="13"/>
        <v>-101.42713887647437</v>
      </c>
      <c r="G112" s="23">
        <f t="shared" si="9"/>
        <v>24</v>
      </c>
      <c r="H112" s="23">
        <f t="shared" si="7"/>
        <v>-12.455449818715216</v>
      </c>
      <c r="I112" s="23">
        <f t="shared" si="10"/>
        <v>24</v>
      </c>
      <c r="J112" s="23">
        <f t="shared" si="11"/>
        <v>-14.796426620077709</v>
      </c>
      <c r="K112" s="24">
        <f t="shared" si="12"/>
        <v>24</v>
      </c>
    </row>
    <row r="113" spans="1:11" x14ac:dyDescent="0.35">
      <c r="A113" s="21">
        <v>9</v>
      </c>
      <c r="B113" s="21">
        <v>59</v>
      </c>
      <c r="C113" s="21">
        <v>105</v>
      </c>
      <c r="D113" s="38"/>
      <c r="E113" s="22">
        <v>26</v>
      </c>
      <c r="F113" s="23">
        <f t="shared" si="13"/>
        <v>-97.418596098944874</v>
      </c>
      <c r="G113" s="23">
        <f t="shared" si="9"/>
        <v>26</v>
      </c>
      <c r="H113" s="23">
        <f t="shared" si="7"/>
        <v>-10.689234508893078</v>
      </c>
      <c r="I113" s="23">
        <f t="shared" si="10"/>
        <v>26</v>
      </c>
      <c r="J113" s="23">
        <f t="shared" si="11"/>
        <v>-12.520498087676154</v>
      </c>
      <c r="K113" s="24">
        <f t="shared" si="12"/>
        <v>26</v>
      </c>
    </row>
    <row r="114" spans="1:11" x14ac:dyDescent="0.35">
      <c r="A114" s="21">
        <v>10</v>
      </c>
      <c r="B114" s="21">
        <v>58</v>
      </c>
      <c r="C114" s="21">
        <v>106</v>
      </c>
      <c r="D114" s="38"/>
      <c r="E114" s="22">
        <v>30</v>
      </c>
      <c r="F114" s="23">
        <f t="shared" si="13"/>
        <v>-91.510224176965977</v>
      </c>
      <c r="G114" s="23">
        <f t="shared" si="9"/>
        <v>30</v>
      </c>
      <c r="H114" s="23">
        <f t="shared" si="7"/>
        <v>-6.8665658254010999</v>
      </c>
      <c r="I114" s="23">
        <f t="shared" si="10"/>
        <v>30</v>
      </c>
      <c r="J114" s="23">
        <f t="shared" si="11"/>
        <v>-8.3100881259226327</v>
      </c>
      <c r="K114" s="24">
        <f t="shared" si="12"/>
        <v>30</v>
      </c>
    </row>
    <row r="115" spans="1:11" x14ac:dyDescent="0.35">
      <c r="A115" s="21">
        <v>11</v>
      </c>
      <c r="B115" s="21">
        <v>57</v>
      </c>
      <c r="C115" s="21">
        <v>107</v>
      </c>
      <c r="D115" s="38"/>
      <c r="E115" s="22">
        <v>37</v>
      </c>
      <c r="F115" s="23">
        <f t="shared" si="13"/>
        <v>-82.750019693426651</v>
      </c>
      <c r="G115" s="23">
        <f t="shared" si="9"/>
        <v>37</v>
      </c>
      <c r="H115" s="23">
        <f t="shared" si="7"/>
        <v>6.4728749590713619E-2</v>
      </c>
      <c r="I115" s="23">
        <f t="shared" si="10"/>
        <v>36.935271250409286</v>
      </c>
      <c r="J115" s="23">
        <f t="shared" si="11"/>
        <v>-1.2779678254989868</v>
      </c>
      <c r="K115" s="24">
        <f t="shared" si="12"/>
        <v>36.935271250409286</v>
      </c>
    </row>
    <row r="116" spans="1:11" x14ac:dyDescent="0.35">
      <c r="A116" s="21">
        <v>12</v>
      </c>
      <c r="B116" s="21">
        <v>56</v>
      </c>
      <c r="C116" s="21">
        <v>108</v>
      </c>
      <c r="D116" s="38"/>
      <c r="E116" s="22">
        <v>47</v>
      </c>
      <c r="F116" s="23">
        <f t="shared" si="13"/>
        <v>-71.195019299558112</v>
      </c>
      <c r="G116" s="23">
        <f t="shared" si="9"/>
        <v>47</v>
      </c>
      <c r="H116" s="23">
        <f t="shared" si="7"/>
        <v>10.168090560806851</v>
      </c>
      <c r="I116" s="23">
        <f t="shared" si="10"/>
        <v>36.831909439193147</v>
      </c>
      <c r="J116" s="23">
        <f t="shared" si="11"/>
        <v>-1.3547366620929848</v>
      </c>
      <c r="K116" s="24">
        <f t="shared" si="12"/>
        <v>36.831909439193147</v>
      </c>
    </row>
    <row r="117" spans="1:11" x14ac:dyDescent="0.35">
      <c r="A117" s="21">
        <v>13</v>
      </c>
      <c r="B117" s="21">
        <v>55</v>
      </c>
      <c r="C117" s="21">
        <v>109</v>
      </c>
      <c r="D117" s="38"/>
      <c r="E117" s="22">
        <v>62</v>
      </c>
      <c r="F117" s="23">
        <f t="shared" si="13"/>
        <v>-54.92111891356695</v>
      </c>
      <c r="G117" s="23">
        <f t="shared" si="9"/>
        <v>62</v>
      </c>
      <c r="H117" s="23">
        <f t="shared" si="7"/>
        <v>25.52866383755801</v>
      </c>
      <c r="I117" s="23">
        <f t="shared" si="10"/>
        <v>36.471336162441986</v>
      </c>
      <c r="J117" s="23">
        <f t="shared" si="11"/>
        <v>-1.6846094728347747</v>
      </c>
      <c r="K117" s="24">
        <f t="shared" si="12"/>
        <v>36.471336162441986</v>
      </c>
    </row>
    <row r="118" spans="1:11" x14ac:dyDescent="0.35">
      <c r="A118" s="21">
        <v>14</v>
      </c>
      <c r="B118" s="21">
        <v>54</v>
      </c>
      <c r="C118" s="21">
        <v>110</v>
      </c>
      <c r="D118" s="38"/>
      <c r="E118" s="22">
        <v>81</v>
      </c>
      <c r="F118" s="23">
        <f t="shared" si="13"/>
        <v>-35.012696535295618</v>
      </c>
      <c r="G118" s="23">
        <f t="shared" si="9"/>
        <v>81</v>
      </c>
      <c r="H118" s="23">
        <f t="shared" si="7"/>
        <v>45.243534528120421</v>
      </c>
      <c r="I118" s="23">
        <f t="shared" si="10"/>
        <v>35.756465471879579</v>
      </c>
      <c r="J118" s="23">
        <f t="shared" si="11"/>
        <v>-2.3586392670348619</v>
      </c>
      <c r="K118" s="24">
        <f t="shared" si="12"/>
        <v>35.756465471879579</v>
      </c>
    </row>
    <row r="119" spans="1:11" x14ac:dyDescent="0.35">
      <c r="A119" s="21">
        <v>15</v>
      </c>
      <c r="B119" s="21">
        <v>53</v>
      </c>
      <c r="C119" s="21">
        <v>111</v>
      </c>
      <c r="D119" s="38"/>
      <c r="E119" s="22">
        <v>94</v>
      </c>
      <c r="F119" s="23">
        <f t="shared" si="13"/>
        <v>-21.442442604589708</v>
      </c>
      <c r="G119" s="23">
        <f t="shared" si="9"/>
        <v>94</v>
      </c>
      <c r="H119" s="23">
        <f t="shared" si="7"/>
        <v>59.299525028694305</v>
      </c>
      <c r="I119" s="23">
        <f t="shared" si="10"/>
        <v>34.700474971305695</v>
      </c>
      <c r="J119" s="23">
        <f t="shared" si="11"/>
        <v>-3.3568970772623103</v>
      </c>
      <c r="K119" s="24">
        <f t="shared" si="12"/>
        <v>34.700474971305695</v>
      </c>
    </row>
    <row r="120" spans="1:11" x14ac:dyDescent="0.35">
      <c r="A120" s="21">
        <v>16</v>
      </c>
      <c r="B120" s="21">
        <v>52</v>
      </c>
      <c r="C120" s="21">
        <v>112</v>
      </c>
      <c r="D120" s="38"/>
      <c r="E120" s="22">
        <v>85</v>
      </c>
      <c r="F120" s="23">
        <f t="shared" si="13"/>
        <v>-29.923593752497915</v>
      </c>
      <c r="G120" s="23">
        <f t="shared" si="9"/>
        <v>85</v>
      </c>
      <c r="H120" s="23">
        <f t="shared" si="7"/>
        <v>51.417882682341123</v>
      </c>
      <c r="I120" s="23">
        <f t="shared" si="10"/>
        <v>33.582117317658877</v>
      </c>
      <c r="J120" s="23">
        <f t="shared" si="11"/>
        <v>-4.3969332128274132</v>
      </c>
      <c r="K120" s="24">
        <f t="shared" si="12"/>
        <v>33.582117317658877</v>
      </c>
    </row>
    <row r="121" spans="1:11" x14ac:dyDescent="0.35">
      <c r="A121" s="21">
        <v>17</v>
      </c>
      <c r="B121" s="21">
        <v>51</v>
      </c>
      <c r="C121" s="21">
        <v>113</v>
      </c>
      <c r="D121" s="38"/>
      <c r="E121" s="22">
        <v>124</v>
      </c>
      <c r="F121" s="23">
        <f t="shared" si="13"/>
        <v>9.284878122552044</v>
      </c>
      <c r="G121" s="23">
        <f t="shared" si="9"/>
        <v>114.71512187744796</v>
      </c>
      <c r="H121" s="23">
        <f t="shared" si="7"/>
        <v>82.485564633688369</v>
      </c>
      <c r="I121" s="23">
        <f t="shared" si="10"/>
        <v>32.229557243759587</v>
      </c>
      <c r="J121" s="23">
        <f t="shared" si="11"/>
        <v>-5.6480290217311619</v>
      </c>
      <c r="K121" s="24">
        <f t="shared" si="12"/>
        <v>32.229557243759587</v>
      </c>
    </row>
    <row r="122" spans="1:11" x14ac:dyDescent="0.35">
      <c r="A122" s="21">
        <v>18</v>
      </c>
      <c r="B122" s="21">
        <v>50</v>
      </c>
      <c r="C122" s="21">
        <v>114</v>
      </c>
      <c r="D122" s="38"/>
      <c r="E122" s="22">
        <v>163</v>
      </c>
      <c r="F122" s="23">
        <f t="shared" si="13"/>
        <v>47.709180560101004</v>
      </c>
      <c r="G122" s="23">
        <f t="shared" si="9"/>
        <v>115.290819439899</v>
      </c>
      <c r="H122" s="23">
        <f t="shared" si="7"/>
        <v>84.750515531137651</v>
      </c>
      <c r="I122" s="23">
        <f t="shared" si="10"/>
        <v>30.540303908761345</v>
      </c>
      <c r="J122" s="23">
        <f t="shared" si="11"/>
        <v>-7.2074292429447979</v>
      </c>
      <c r="K122" s="24">
        <f t="shared" si="12"/>
        <v>30.540303908761345</v>
      </c>
    </row>
    <row r="123" spans="1:11" x14ac:dyDescent="0.35">
      <c r="A123" s="21">
        <v>19</v>
      </c>
      <c r="B123" s="21">
        <v>49</v>
      </c>
      <c r="C123" s="21">
        <v>115</v>
      </c>
      <c r="D123" s="38"/>
      <c r="E123" s="22">
        <v>286</v>
      </c>
      <c r="F123" s="23">
        <f t="shared" si="13"/>
        <v>168.52499694889897</v>
      </c>
      <c r="G123" s="23">
        <f t="shared" si="9"/>
        <v>117.47500305110103</v>
      </c>
      <c r="H123" s="23">
        <f t="shared" si="7"/>
        <v>88.686589087987414</v>
      </c>
      <c r="I123" s="23">
        <f t="shared" si="10"/>
        <v>28.788413963113612</v>
      </c>
      <c r="J123" s="23">
        <f t="shared" si="11"/>
        <v>-8.7976517042771576</v>
      </c>
      <c r="K123" s="24">
        <f t="shared" si="12"/>
        <v>28.788413963113612</v>
      </c>
    </row>
    <row r="124" spans="1:11" x14ac:dyDescent="0.35">
      <c r="A124" s="21">
        <v>20</v>
      </c>
      <c r="B124" s="21">
        <v>48</v>
      </c>
      <c r="C124" s="21">
        <v>116</v>
      </c>
      <c r="D124" s="38"/>
      <c r="E124" s="22">
        <v>498</v>
      </c>
      <c r="F124" s="23">
        <f t="shared" si="13"/>
        <v>375.03449700992098</v>
      </c>
      <c r="G124" s="23">
        <f t="shared" si="9"/>
        <v>122.96550299007902</v>
      </c>
      <c r="H124" s="23">
        <f t="shared" si="7"/>
        <v>96.043044926097579</v>
      </c>
      <c r="I124" s="23">
        <f t="shared" si="10"/>
        <v>26.922458063981438</v>
      </c>
      <c r="J124" s="23">
        <f t="shared" si="11"/>
        <v>-10.468995010332467</v>
      </c>
      <c r="K124" s="24">
        <f t="shared" si="12"/>
        <v>26.922458063981438</v>
      </c>
    </row>
    <row r="125" spans="1:11" x14ac:dyDescent="0.35">
      <c r="A125" s="21">
        <v>21</v>
      </c>
      <c r="B125" s="21">
        <v>47</v>
      </c>
      <c r="C125" s="21">
        <v>117</v>
      </c>
      <c r="D125" s="38"/>
      <c r="E125" s="22">
        <v>703</v>
      </c>
      <c r="F125" s="23">
        <f t="shared" si="13"/>
        <v>570.48380706972262</v>
      </c>
      <c r="G125" s="23">
        <f t="shared" si="9"/>
        <v>132.51619293027738</v>
      </c>
      <c r="H125" s="23">
        <f t="shared" si="7"/>
        <v>107.65125302744282</v>
      </c>
      <c r="I125" s="23">
        <f t="shared" si="10"/>
        <v>24.864939902834564</v>
      </c>
      <c r="J125" s="23">
        <f t="shared" si="11"/>
        <v>-12.296558089661223</v>
      </c>
      <c r="K125" s="24">
        <f t="shared" si="12"/>
        <v>24.864939902834564</v>
      </c>
    </row>
    <row r="126" spans="1:11" x14ac:dyDescent="0.35">
      <c r="A126" s="21">
        <v>22</v>
      </c>
      <c r="B126" s="21">
        <v>46</v>
      </c>
      <c r="C126" s="21">
        <v>118</v>
      </c>
      <c r="D126" s="38"/>
      <c r="E126" s="22">
        <v>247</v>
      </c>
      <c r="F126" s="23">
        <f t="shared" si="13"/>
        <v>107.63413092832815</v>
      </c>
      <c r="G126" s="23">
        <f t="shared" si="9"/>
        <v>139.36586907167185</v>
      </c>
      <c r="H126" s="23">
        <f t="shared" si="7"/>
        <v>116.76778817084015</v>
      </c>
      <c r="I126" s="23">
        <f t="shared" si="10"/>
        <v>22.598080900831704</v>
      </c>
      <c r="J126" s="23">
        <f t="shared" si="11"/>
        <v>-14.29481733985083</v>
      </c>
      <c r="K126" s="24">
        <f t="shared" si="12"/>
        <v>22.598080900831704</v>
      </c>
    </row>
    <row r="127" spans="1:11" x14ac:dyDescent="0.35">
      <c r="A127" s="21">
        <v>23</v>
      </c>
      <c r="B127" s="21">
        <v>45</v>
      </c>
      <c r="C127" s="21">
        <v>119</v>
      </c>
      <c r="D127" s="38"/>
      <c r="E127" s="22">
        <v>153</v>
      </c>
      <c r="F127" s="23">
        <f t="shared" si="13"/>
        <v>12.421448309761587</v>
      </c>
      <c r="G127" s="23">
        <f t="shared" si="9"/>
        <v>140.57855169023841</v>
      </c>
      <c r="H127" s="23">
        <f t="shared" si="7"/>
        <v>120.37586118696025</v>
      </c>
      <c r="I127" s="23">
        <f t="shared" si="10"/>
        <v>20.202690503278163</v>
      </c>
      <c r="J127" s="23">
        <f t="shared" si="11"/>
        <v>-16.380357486631819</v>
      </c>
      <c r="K127" s="24">
        <f t="shared" si="12"/>
        <v>20.202690503278163</v>
      </c>
    </row>
    <row r="128" spans="1:11" x14ac:dyDescent="0.35">
      <c r="A128" s="21">
        <v>24</v>
      </c>
      <c r="B128" s="21">
        <v>44</v>
      </c>
      <c r="C128" s="21">
        <v>120</v>
      </c>
      <c r="D128" s="38"/>
      <c r="E128" s="22">
        <v>266</v>
      </c>
      <c r="F128" s="23">
        <f t="shared" si="13"/>
        <v>124.04301934356636</v>
      </c>
      <c r="G128" s="23">
        <f t="shared" si="9"/>
        <v>141.95698065643364</v>
      </c>
      <c r="H128" s="23">
        <f t="shared" si="7"/>
        <v>124.22500598315666</v>
      </c>
      <c r="I128" s="23">
        <f t="shared" si="10"/>
        <v>17.73197467327698</v>
      </c>
      <c r="J128" s="23">
        <f t="shared" si="11"/>
        <v>-18.498759008600356</v>
      </c>
      <c r="K128" s="24">
        <f t="shared" si="12"/>
        <v>17.73197467327698</v>
      </c>
    </row>
    <row r="129" spans="1:11" x14ac:dyDescent="0.35">
      <c r="A129" s="21">
        <v>25</v>
      </c>
      <c r="B129" s="21">
        <v>43</v>
      </c>
      <c r="C129" s="21">
        <v>121</v>
      </c>
      <c r="D129" s="38"/>
      <c r="E129" s="22">
        <v>261</v>
      </c>
      <c r="F129" s="23">
        <f t="shared" si="13"/>
        <v>116.61215895669503</v>
      </c>
      <c r="G129" s="23">
        <f t="shared" si="9"/>
        <v>144.38784104330497</v>
      </c>
      <c r="H129" s="23">
        <f t="shared" si="7"/>
        <v>129.2158752715911</v>
      </c>
      <c r="I129" s="23">
        <f t="shared" si="10"/>
        <v>15.171965771713872</v>
      </c>
      <c r="J129" s="23">
        <f t="shared" si="11"/>
        <v>-20.663192640975822</v>
      </c>
      <c r="K129" s="24">
        <f t="shared" si="12"/>
        <v>15.171965771713872</v>
      </c>
    </row>
    <row r="130" spans="1:11" x14ac:dyDescent="0.35">
      <c r="A130" s="21">
        <v>26</v>
      </c>
      <c r="B130" s="21">
        <v>42</v>
      </c>
      <c r="C130" s="21">
        <v>122</v>
      </c>
      <c r="D130" s="38"/>
      <c r="E130" s="22">
        <v>294</v>
      </c>
      <c r="F130" s="23">
        <f t="shared" si="13"/>
        <v>146.94991577756113</v>
      </c>
      <c r="G130" s="23">
        <f t="shared" si="9"/>
        <v>147.05008422243887</v>
      </c>
      <c r="H130" s="23">
        <f t="shared" si="7"/>
        <v>134.54234287646293</v>
      </c>
      <c r="I130" s="23">
        <f t="shared" si="10"/>
        <v>12.507741345975944</v>
      </c>
      <c r="J130" s="23">
        <f t="shared" si="11"/>
        <v>-22.887510969636857</v>
      </c>
      <c r="K130" s="24">
        <f t="shared" si="12"/>
        <v>12.507741345975944</v>
      </c>
    </row>
    <row r="131" spans="1:11" x14ac:dyDescent="0.35">
      <c r="A131" s="21">
        <v>27</v>
      </c>
      <c r="B131" s="21">
        <v>41</v>
      </c>
      <c r="C131" s="21">
        <v>123</v>
      </c>
      <c r="D131" s="38"/>
      <c r="E131" s="22">
        <v>330</v>
      </c>
      <c r="F131" s="23">
        <f t="shared" si="13"/>
        <v>179.65091746200989</v>
      </c>
      <c r="G131" s="23">
        <f t="shared" si="9"/>
        <v>150.34908253799011</v>
      </c>
      <c r="H131" s="23">
        <f t="shared" si="7"/>
        <v>140.6207665396517</v>
      </c>
      <c r="I131" s="23">
        <f t="shared" si="10"/>
        <v>9.7283159983384166</v>
      </c>
      <c r="J131" s="23">
        <f t="shared" si="11"/>
        <v>-25.181391844405272</v>
      </c>
      <c r="K131" s="24">
        <f t="shared" si="12"/>
        <v>9.7283159983384166</v>
      </c>
    </row>
    <row r="132" spans="1:11" x14ac:dyDescent="0.35">
      <c r="A132" s="21">
        <v>28</v>
      </c>
      <c r="B132" s="21">
        <v>40</v>
      </c>
      <c r="C132" s="21">
        <v>124</v>
      </c>
      <c r="D132" s="38"/>
      <c r="E132" s="22">
        <v>82</v>
      </c>
      <c r="F132" s="23">
        <f t="shared" si="13"/>
        <v>-69.462100887230321</v>
      </c>
      <c r="G132" s="23">
        <f t="shared" si="9"/>
        <v>82</v>
      </c>
      <c r="H132" s="23">
        <f t="shared" si="7"/>
        <v>74.444055945960685</v>
      </c>
      <c r="I132" s="23">
        <f t="shared" si="10"/>
        <v>7.5559440540393155</v>
      </c>
      <c r="J132" s="23">
        <f t="shared" si="11"/>
        <v>-26.828412232373275</v>
      </c>
      <c r="K132" s="24">
        <f t="shared" si="12"/>
        <v>7.5559440540393155</v>
      </c>
    </row>
    <row r="133" spans="1:11" x14ac:dyDescent="0.35">
      <c r="A133" s="21">
        <v>29</v>
      </c>
      <c r="B133" s="21">
        <v>39</v>
      </c>
      <c r="C133" s="21">
        <v>125</v>
      </c>
      <c r="D133" s="38"/>
      <c r="E133" s="22">
        <v>119</v>
      </c>
      <c r="F133" s="23">
        <f t="shared" si="13"/>
        <v>-31.442858869485711</v>
      </c>
      <c r="G133" s="23">
        <f t="shared" si="9"/>
        <v>119</v>
      </c>
      <c r="H133" s="23">
        <f t="shared" si="7"/>
        <v>113.34087341424561</v>
      </c>
      <c r="I133" s="23">
        <f t="shared" si="10"/>
        <v>5.6591265857543931</v>
      </c>
      <c r="J133" s="23">
        <f t="shared" si="11"/>
        <v>-28.169693281327881</v>
      </c>
      <c r="K133" s="24">
        <f t="shared" si="12"/>
        <v>5.6591265857543931</v>
      </c>
    </row>
    <row r="134" spans="1:11" x14ac:dyDescent="0.35">
      <c r="A134" s="21">
        <v>30</v>
      </c>
      <c r="B134" s="21">
        <v>38</v>
      </c>
      <c r="C134" s="21">
        <v>126</v>
      </c>
      <c r="D134" s="38"/>
      <c r="E134" s="22">
        <v>161</v>
      </c>
      <c r="F134" s="23">
        <f t="shared" si="13"/>
        <v>10.765998307904002</v>
      </c>
      <c r="G134" s="23">
        <f t="shared" si="9"/>
        <v>150.234001692096</v>
      </c>
      <c r="H134" s="23">
        <f>a*H135+(1+a)*(G134-G135)/2</f>
        <v>147.2066684585925</v>
      </c>
      <c r="I134" s="23">
        <f t="shared" si="10"/>
        <v>3.0273332335034979</v>
      </c>
      <c r="J134" s="23">
        <f t="shared" si="11"/>
        <v>-30.211774834429708</v>
      </c>
      <c r="K134" s="24">
        <f t="shared" si="12"/>
        <v>3.0273332335034979</v>
      </c>
    </row>
    <row r="135" spans="1:11" x14ac:dyDescent="0.35">
      <c r="A135" s="21">
        <v>31</v>
      </c>
      <c r="B135" s="21">
        <v>37</v>
      </c>
      <c r="C135" s="21">
        <v>127</v>
      </c>
      <c r="D135" s="21"/>
      <c r="E135" s="22">
        <v>366</v>
      </c>
      <c r="F135" s="23">
        <f t="shared" si="13"/>
        <v>213.50067834174592</v>
      </c>
      <c r="G135" s="23">
        <f t="shared" si="9"/>
        <v>152.49932165825408</v>
      </c>
      <c r="H135" s="26">
        <f>G135</f>
        <v>152.49932165825408</v>
      </c>
      <c r="I135" s="23">
        <f t="shared" si="10"/>
        <v>0</v>
      </c>
      <c r="J135" s="23">
        <f t="shared" si="11"/>
        <v>-32.604599238909579</v>
      </c>
      <c r="K135" s="24">
        <f t="shared" si="12"/>
        <v>0</v>
      </c>
    </row>
    <row r="136" spans="1:11" x14ac:dyDescent="0.35">
      <c r="A136" s="21"/>
      <c r="B136" s="21"/>
      <c r="C136" s="21"/>
      <c r="D136" s="21"/>
      <c r="E136" s="41"/>
      <c r="F136" s="23"/>
      <c r="G136" s="23"/>
      <c r="H136" s="23"/>
      <c r="I136" s="23"/>
      <c r="J136" s="23"/>
      <c r="K136" s="24"/>
    </row>
    <row r="138" spans="1:11" x14ac:dyDescent="0.35">
      <c r="E138" s="5">
        <f>SUM(E9:E137)</f>
        <v>22686</v>
      </c>
      <c r="F138" s="5">
        <f t="shared" ref="F138:K138" si="14">SUM(F9:F137)</f>
        <v>7703.4667612544517</v>
      </c>
      <c r="G138" s="5">
        <f t="shared" si="14"/>
        <v>10220.0735916421</v>
      </c>
      <c r="H138" s="5">
        <f t="shared" si="14"/>
        <v>3178.3991787196155</v>
      </c>
      <c r="I138" s="5">
        <f t="shared" si="14"/>
        <v>5658.7581123784912</v>
      </c>
      <c r="J138" s="5">
        <f t="shared" si="14"/>
        <v>1597.625362706566</v>
      </c>
      <c r="K138" s="5">
        <f t="shared" si="14"/>
        <v>3251.3262885567647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5ED6E5E8968F468055BE8FA20BC122" ma:contentTypeVersion="17" ma:contentTypeDescription="Create a new document." ma:contentTypeScope="" ma:versionID="0f35e684e41b6143cc10a8f8c1c5351f">
  <xsd:schema xmlns:xsd="http://www.w3.org/2001/XMLSchema" xmlns:xs="http://www.w3.org/2001/XMLSchema" xmlns:p="http://schemas.microsoft.com/office/2006/metadata/properties" xmlns:ns3="38f94f4a-08e5-45ed-8699-2c4b1731883e" xmlns:ns4="c644ab02-1a7a-47f0-8bea-5308b157e0c3" targetNamespace="http://schemas.microsoft.com/office/2006/metadata/properties" ma:root="true" ma:fieldsID="4aad2d8c486abdaed0782f0d635b4572" ns3:_="" ns4:_="">
    <xsd:import namespace="38f94f4a-08e5-45ed-8699-2c4b1731883e"/>
    <xsd:import namespace="c644ab02-1a7a-47f0-8bea-5308b157e0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94f4a-08e5-45ed-8699-2c4b173188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4ab02-1a7a-47f0-8bea-5308b157e0c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f94f4a-08e5-45ed-8699-2c4b1731883e" xsi:nil="true"/>
  </documentManagement>
</p:properties>
</file>

<file path=customXml/itemProps1.xml><?xml version="1.0" encoding="utf-8"?>
<ds:datastoreItem xmlns:ds="http://schemas.openxmlformats.org/officeDocument/2006/customXml" ds:itemID="{CE0A0EF3-F287-402B-8398-0B9B4B43CC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f94f4a-08e5-45ed-8699-2c4b1731883e"/>
    <ds:schemaRef ds:uri="c644ab02-1a7a-47f0-8bea-5308b157e0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873FA2-DB8E-41C4-BB62-32BBEA013E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87C138-3532-41C5-AC68-C21C054C972C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c644ab02-1a7a-47f0-8bea-5308b157e0c3"/>
    <ds:schemaRef ds:uri="38f94f4a-08e5-45ed-8699-2c4b173188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LH as published</vt:lpstr>
      <vt:lpstr>LH per Tony Ladson</vt:lpstr>
      <vt:lpstr>LH Paper Example replication</vt:lpstr>
      <vt:lpstr>Worked example from paper</vt:lpstr>
      <vt:lpstr>a</vt:lpstr>
      <vt:lpstr>'LH as published'!alpha</vt:lpstr>
      <vt:lpstr>'LH Paper Example replication'!alpha</vt:lpstr>
      <vt:lpstr>'LH per Tony Ladson'!alpha</vt:lpstr>
    </vt:vector>
  </TitlesOfParts>
  <Company>Milwaukee School of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Gonwa, William</dc:creator>
  <cp:lastModifiedBy>Gonwa, William</cp:lastModifiedBy>
  <cp:lastPrinted>2024-04-17T02:09:33Z</cp:lastPrinted>
  <dcterms:created xsi:type="dcterms:W3CDTF">2024-04-16T17:01:08Z</dcterms:created>
  <dcterms:modified xsi:type="dcterms:W3CDTF">2024-05-02T16:31:36Z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0x010100EC5ED6E5E8968F468055BE8FA20BC122</vt:lpwstr>
  </property>
</Properties>
</file>